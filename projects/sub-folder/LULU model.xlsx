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zio Sabino\Documents\Work\Education\3. Baruch College - Zicklin School of Business\02. Fall Semester\0. Dog Bone Club\UBER - Uber\"/>
    </mc:Choice>
  </mc:AlternateContent>
  <xr:revisionPtr revIDLastSave="0" documentId="13_ncr:1_{E7011694-31E0-4147-8BB4-04BCE0F0A69D}" xr6:coauthVersionLast="47" xr6:coauthVersionMax="47" xr10:uidLastSave="{00000000-0000-0000-0000-000000000000}"/>
  <bookViews>
    <workbookView xWindow="-108" yWindow="-108" windowWidth="23256" windowHeight="12456" xr2:uid="{1D05DEF2-6A47-48D6-95B3-43B84AAF32AB}"/>
  </bookViews>
  <sheets>
    <sheet name="Trading Comp" sheetId="5" r:id="rId1"/>
    <sheet name="DCF" sheetId="1" r:id="rId2"/>
    <sheet name="Consolidated" sheetId="13" r:id="rId3"/>
    <sheet name="Company-operated store DCF" sheetId="10" r:id="rId4"/>
    <sheet name="Direct to Consumer DCF" sheetId="12" r:id="rId5"/>
    <sheet name="Other DCF" sheetId="14" r:id="rId6"/>
    <sheet name="WACC" sheetId="4" r:id="rId7"/>
    <sheet name="Shares" sheetId="9" r:id="rId8"/>
    <sheet name="IS" sheetId="2" r:id="rId9"/>
    <sheet name="BS" sheetId="6" r:id="rId10"/>
    <sheet name="CF" sheetId="3" r:id="rId11"/>
  </sheets>
  <definedNames>
    <definedName name="TGR">DCF!$D$19</definedName>
    <definedName name="WACC">DCF!$D$18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7" i="1" l="1"/>
  <c r="V118" i="1"/>
  <c r="U118" i="1"/>
  <c r="T118" i="1"/>
  <c r="S118" i="1"/>
  <c r="T117" i="1"/>
  <c r="V117" i="1"/>
  <c r="S117" i="1"/>
  <c r="U26" i="5"/>
  <c r="T26" i="5"/>
  <c r="L26" i="5"/>
  <c r="H26" i="5"/>
  <c r="I4" i="1"/>
  <c r="R124" i="1"/>
  <c r="R20" i="12"/>
  <c r="R18" i="12"/>
  <c r="R118" i="1"/>
  <c r="R14" i="10"/>
  <c r="P118" i="1"/>
  <c r="P14" i="14"/>
  <c r="M61" i="1"/>
  <c r="P14" i="10"/>
  <c r="P14" i="12"/>
  <c r="R14" i="12"/>
  <c r="R14" i="14"/>
  <c r="R125" i="1"/>
  <c r="R21" i="14"/>
  <c r="R20" i="14"/>
  <c r="R18" i="14"/>
  <c r="R20" i="10"/>
  <c r="R18" i="10"/>
  <c r="R21" i="10"/>
  <c r="R21" i="12"/>
  <c r="O18" i="13"/>
  <c r="P18" i="13"/>
  <c r="Q18" i="13"/>
  <c r="R18" i="13"/>
  <c r="N18" i="13"/>
  <c r="O12" i="13"/>
  <c r="P12" i="13"/>
  <c r="Q12" i="13"/>
  <c r="R12" i="13"/>
  <c r="N12" i="13"/>
  <c r="E11" i="14"/>
  <c r="F11" i="14"/>
  <c r="G11" i="14"/>
  <c r="H11" i="14"/>
  <c r="I11" i="14"/>
  <c r="J11" i="14"/>
  <c r="K11" i="14"/>
  <c r="D11" i="14"/>
  <c r="D29" i="14"/>
  <c r="M24" i="14"/>
  <c r="F19" i="4"/>
  <c r="F16" i="4"/>
  <c r="F9" i="4"/>
  <c r="F15" i="4"/>
  <c r="M128" i="1"/>
  <c r="F14" i="4"/>
  <c r="R150" i="1"/>
  <c r="D94" i="1"/>
  <c r="M110" i="1"/>
  <c r="L110" i="1"/>
  <c r="K110" i="1"/>
  <c r="J110" i="1"/>
  <c r="I110" i="1"/>
  <c r="H110" i="1"/>
  <c r="G110" i="1"/>
  <c r="F110" i="1"/>
  <c r="E110" i="1"/>
  <c r="D110" i="1"/>
  <c r="R94" i="1"/>
  <c r="R135" i="1"/>
  <c r="Q94" i="1"/>
  <c r="Q135" i="1"/>
  <c r="P94" i="1"/>
  <c r="P135" i="1"/>
  <c r="O94" i="1"/>
  <c r="O135" i="1"/>
  <c r="N94" i="1"/>
  <c r="M94" i="1"/>
  <c r="L94" i="1"/>
  <c r="K94" i="1"/>
  <c r="J94" i="1"/>
  <c r="I94" i="1"/>
  <c r="H94" i="1"/>
  <c r="G94" i="1"/>
  <c r="F94" i="1"/>
  <c r="E94" i="1"/>
  <c r="M77" i="1"/>
  <c r="L77" i="1"/>
  <c r="K77" i="1"/>
  <c r="J77" i="1"/>
  <c r="I77" i="1"/>
  <c r="H77" i="1"/>
  <c r="G77" i="1"/>
  <c r="F77" i="1"/>
  <c r="E77" i="1"/>
  <c r="D77" i="1"/>
  <c r="M60" i="1"/>
  <c r="M127" i="1"/>
  <c r="L60" i="1"/>
  <c r="L127" i="1"/>
  <c r="K60" i="1"/>
  <c r="K127" i="1"/>
  <c r="J60" i="1"/>
  <c r="J127" i="1"/>
  <c r="I60" i="1"/>
  <c r="I127" i="1"/>
  <c r="H60" i="1"/>
  <c r="H127" i="1"/>
  <c r="G60" i="1"/>
  <c r="G127" i="1"/>
  <c r="F60" i="1"/>
  <c r="F127" i="1"/>
  <c r="E60" i="1"/>
  <c r="E127" i="1"/>
  <c r="D60" i="1"/>
  <c r="R55" i="1"/>
  <c r="Q55" i="1"/>
  <c r="P55" i="1"/>
  <c r="O55" i="1"/>
  <c r="N55" i="1"/>
  <c r="R38" i="1"/>
  <c r="Q38" i="1"/>
  <c r="P38" i="1"/>
  <c r="O38" i="1"/>
  <c r="O39" i="1"/>
  <c r="N38" i="1"/>
  <c r="J32" i="1"/>
  <c r="I32" i="1"/>
  <c r="E55" i="1"/>
  <c r="F55" i="1"/>
  <c r="G55" i="1"/>
  <c r="H55" i="1"/>
  <c r="I55" i="1"/>
  <c r="J55" i="1"/>
  <c r="K55" i="1"/>
  <c r="L55" i="1"/>
  <c r="M55" i="1"/>
  <c r="D55" i="1"/>
  <c r="P27" i="5"/>
  <c r="P28" i="5"/>
  <c r="P29" i="5"/>
  <c r="P26" i="5"/>
  <c r="N135" i="1"/>
  <c r="D79" i="1"/>
  <c r="R39" i="1"/>
  <c r="Q39" i="1"/>
  <c r="P39" i="1"/>
  <c r="M38" i="1"/>
  <c r="L38" i="1"/>
  <c r="K38" i="1"/>
  <c r="J38" i="1"/>
  <c r="I38" i="1"/>
  <c r="H38" i="1"/>
  <c r="G38" i="1"/>
  <c r="F38" i="1"/>
  <c r="E38" i="1"/>
  <c r="D38" i="1"/>
  <c r="E35" i="1"/>
  <c r="D35" i="1"/>
  <c r="D95" i="1"/>
  <c r="J39" i="1"/>
  <c r="L39" i="1"/>
  <c r="K39" i="1"/>
  <c r="M39" i="1"/>
  <c r="H39" i="1"/>
  <c r="N39" i="1"/>
  <c r="I39" i="1"/>
  <c r="D111" i="1"/>
  <c r="G39" i="1"/>
  <c r="E39" i="1"/>
  <c r="D25" i="1"/>
  <c r="D115" i="1"/>
  <c r="F39" i="1"/>
  <c r="D56" i="1"/>
  <c r="G32" i="1"/>
  <c r="H32" i="1"/>
  <c r="K32" i="1"/>
  <c r="E32" i="1"/>
  <c r="F32" i="1"/>
  <c r="C5" i="1"/>
  <c r="N144" i="1"/>
  <c r="N40" i="14"/>
  <c r="M24" i="10"/>
  <c r="D61" i="1"/>
  <c r="E61" i="1"/>
  <c r="F61" i="1"/>
  <c r="G61" i="1"/>
  <c r="H61" i="1"/>
  <c r="I61" i="1"/>
  <c r="J61" i="1"/>
  <c r="K61" i="1"/>
  <c r="L61" i="1"/>
  <c r="D19" i="1"/>
  <c r="D6" i="14"/>
  <c r="D29" i="12"/>
  <c r="K11" i="10"/>
  <c r="J11" i="10"/>
  <c r="I11" i="10"/>
  <c r="H11" i="10"/>
  <c r="G11" i="10"/>
  <c r="F11" i="10"/>
  <c r="E11" i="10"/>
  <c r="D11" i="10"/>
  <c r="K24" i="1"/>
  <c r="J24" i="1"/>
  <c r="J12" i="10"/>
  <c r="I24" i="1"/>
  <c r="I12" i="10"/>
  <c r="H24" i="1"/>
  <c r="H12" i="10"/>
  <c r="G24" i="1"/>
  <c r="G12" i="10"/>
  <c r="F24" i="1"/>
  <c r="F12" i="10"/>
  <c r="E24" i="1"/>
  <c r="E12" i="10"/>
  <c r="I35" i="1"/>
  <c r="H35" i="1"/>
  <c r="E25" i="1"/>
  <c r="E82" i="1"/>
  <c r="E83" i="1"/>
  <c r="F8" i="4"/>
  <c r="L24" i="13"/>
  <c r="L24" i="14"/>
  <c r="L128" i="1"/>
  <c r="K24" i="13"/>
  <c r="K24" i="14"/>
  <c r="K128" i="1"/>
  <c r="J24" i="12"/>
  <c r="J24" i="14"/>
  <c r="J128" i="1"/>
  <c r="I24" i="10"/>
  <c r="O61" i="1"/>
  <c r="Q61" i="1"/>
  <c r="N61" i="1"/>
  <c r="P61" i="1"/>
  <c r="R61" i="1"/>
  <c r="I24" i="14"/>
  <c r="I128" i="1"/>
  <c r="H24" i="12"/>
  <c r="H24" i="14"/>
  <c r="H128" i="1"/>
  <c r="G24" i="10"/>
  <c r="G24" i="14"/>
  <c r="G128" i="1"/>
  <c r="F24" i="10"/>
  <c r="F24" i="14"/>
  <c r="F128" i="1"/>
  <c r="E24" i="10"/>
  <c r="E24" i="14"/>
  <c r="E128" i="1"/>
  <c r="D43" i="1"/>
  <c r="D82" i="1"/>
  <c r="D84" i="1"/>
  <c r="D100" i="1"/>
  <c r="D98" i="1"/>
  <c r="D99" i="1"/>
  <c r="D65" i="1"/>
  <c r="D28" i="10"/>
  <c r="E84" i="1"/>
  <c r="D24" i="10"/>
  <c r="D24" i="14"/>
  <c r="D128" i="1"/>
  <c r="N145" i="1"/>
  <c r="N41" i="14"/>
  <c r="E100" i="1"/>
  <c r="E65" i="1"/>
  <c r="E28" i="10"/>
  <c r="K35" i="1"/>
  <c r="K25" i="1"/>
  <c r="K82" i="1"/>
  <c r="K83" i="1"/>
  <c r="K32" i="10"/>
  <c r="G35" i="1"/>
  <c r="G25" i="1"/>
  <c r="G82" i="1"/>
  <c r="G31" i="10"/>
  <c r="F35" i="1"/>
  <c r="J11" i="12"/>
  <c r="J11" i="13"/>
  <c r="J35" i="1"/>
  <c r="J33" i="1"/>
  <c r="J90" i="1"/>
  <c r="H25" i="1"/>
  <c r="H33" i="1"/>
  <c r="H90" i="1"/>
  <c r="I25" i="1"/>
  <c r="I33" i="1"/>
  <c r="E33" i="1"/>
  <c r="E90" i="1"/>
  <c r="D33" i="1"/>
  <c r="D73" i="1"/>
  <c r="I24" i="12"/>
  <c r="M24" i="12"/>
  <c r="E24" i="12"/>
  <c r="D24" i="13"/>
  <c r="F24" i="12"/>
  <c r="F24" i="13"/>
  <c r="M24" i="13"/>
  <c r="I24" i="13"/>
  <c r="D24" i="12"/>
  <c r="E24" i="13"/>
  <c r="J24" i="13"/>
  <c r="G24" i="12"/>
  <c r="L24" i="12"/>
  <c r="L24" i="10"/>
  <c r="K24" i="12"/>
  <c r="K24" i="10"/>
  <c r="J24" i="10"/>
  <c r="H24" i="10"/>
  <c r="I11" i="12"/>
  <c r="I11" i="13"/>
  <c r="K11" i="12"/>
  <c r="K11" i="13"/>
  <c r="E31" i="10"/>
  <c r="D11" i="12"/>
  <c r="D11" i="13"/>
  <c r="H24" i="13"/>
  <c r="E11" i="12"/>
  <c r="E11" i="13"/>
  <c r="F11" i="12"/>
  <c r="F11" i="13"/>
  <c r="G11" i="12"/>
  <c r="G11" i="13"/>
  <c r="H11" i="12"/>
  <c r="H11" i="13"/>
  <c r="G24" i="13"/>
  <c r="K12" i="10"/>
  <c r="E32" i="10"/>
  <c r="D78" i="1"/>
  <c r="G29" i="1"/>
  <c r="G86" i="1"/>
  <c r="G87" i="1"/>
  <c r="G32" i="14"/>
  <c r="H29" i="1"/>
  <c r="H86" i="1"/>
  <c r="H88" i="1"/>
  <c r="I29" i="1"/>
  <c r="D29" i="1"/>
  <c r="D86" i="1"/>
  <c r="D87" i="1"/>
  <c r="E29" i="1"/>
  <c r="E86" i="1"/>
  <c r="E87" i="1"/>
  <c r="E32" i="14"/>
  <c r="E36" i="1"/>
  <c r="K28" i="1"/>
  <c r="K12" i="14"/>
  <c r="E28" i="1"/>
  <c r="F28" i="1"/>
  <c r="G28" i="1"/>
  <c r="H28" i="1"/>
  <c r="I28" i="1"/>
  <c r="J28" i="1"/>
  <c r="G88" i="1"/>
  <c r="G31" i="12"/>
  <c r="K29" i="1"/>
  <c r="K86" i="1"/>
  <c r="E32" i="12"/>
  <c r="D31" i="12"/>
  <c r="Q24" i="10"/>
  <c r="Q24" i="14"/>
  <c r="Q24" i="13"/>
  <c r="Q24" i="12"/>
  <c r="Q60" i="1"/>
  <c r="D32" i="14"/>
  <c r="D32" i="12"/>
  <c r="O24" i="14"/>
  <c r="O24" i="10"/>
  <c r="O24" i="12"/>
  <c r="O24" i="13"/>
  <c r="O60" i="1"/>
  <c r="J92" i="1"/>
  <c r="J31" i="14"/>
  <c r="J91" i="1"/>
  <c r="K87" i="1"/>
  <c r="K31" i="12"/>
  <c r="K31" i="10"/>
  <c r="I69" i="1"/>
  <c r="I28" i="12"/>
  <c r="I86" i="1"/>
  <c r="K33" i="1"/>
  <c r="K90" i="1"/>
  <c r="G83" i="1"/>
  <c r="G32" i="10"/>
  <c r="G84" i="1"/>
  <c r="D66" i="1"/>
  <c r="D67" i="1"/>
  <c r="H87" i="1"/>
  <c r="H31" i="12"/>
  <c r="D90" i="1"/>
  <c r="I12" i="12"/>
  <c r="I12" i="14"/>
  <c r="K84" i="1"/>
  <c r="E91" i="1"/>
  <c r="E31" i="14"/>
  <c r="E92" i="1"/>
  <c r="E67" i="1"/>
  <c r="E66" i="1"/>
  <c r="E29" i="10"/>
  <c r="D83" i="1"/>
  <c r="D32" i="10"/>
  <c r="D31" i="10"/>
  <c r="I73" i="1"/>
  <c r="I28" i="14"/>
  <c r="I90" i="1"/>
  <c r="D44" i="1"/>
  <c r="D45" i="1"/>
  <c r="E31" i="12"/>
  <c r="E31" i="13"/>
  <c r="E32" i="13"/>
  <c r="G12" i="12"/>
  <c r="G12" i="14"/>
  <c r="G32" i="12"/>
  <c r="I65" i="1"/>
  <c r="I66" i="1"/>
  <c r="I29" i="10"/>
  <c r="I82" i="1"/>
  <c r="N128" i="1"/>
  <c r="F12" i="12"/>
  <c r="F12" i="14"/>
  <c r="E88" i="1"/>
  <c r="H91" i="1"/>
  <c r="H31" i="14"/>
  <c r="H92" i="1"/>
  <c r="K88" i="1"/>
  <c r="H65" i="1"/>
  <c r="H66" i="1"/>
  <c r="H82" i="1"/>
  <c r="R24" i="13"/>
  <c r="R24" i="10"/>
  <c r="R24" i="14"/>
  <c r="R24" i="12"/>
  <c r="R60" i="1"/>
  <c r="J12" i="12"/>
  <c r="J12" i="14"/>
  <c r="H12" i="12"/>
  <c r="H12" i="14"/>
  <c r="E12" i="12"/>
  <c r="E12" i="14"/>
  <c r="D88" i="1"/>
  <c r="P24" i="10"/>
  <c r="P24" i="14"/>
  <c r="P24" i="12"/>
  <c r="P24" i="13"/>
  <c r="P60" i="1"/>
  <c r="N24" i="14"/>
  <c r="N24" i="10"/>
  <c r="N24" i="12"/>
  <c r="N24" i="13"/>
  <c r="N60" i="1"/>
  <c r="O144" i="1"/>
  <c r="K104" i="1"/>
  <c r="K102" i="1"/>
  <c r="K69" i="1"/>
  <c r="G104" i="1"/>
  <c r="G69" i="1"/>
  <c r="J51" i="1"/>
  <c r="J73" i="1"/>
  <c r="J28" i="14"/>
  <c r="D69" i="1"/>
  <c r="D47" i="1"/>
  <c r="H104" i="1"/>
  <c r="H102" i="1"/>
  <c r="H69" i="1"/>
  <c r="E51" i="1"/>
  <c r="E73" i="1"/>
  <c r="E28" i="14"/>
  <c r="G100" i="1"/>
  <c r="G65" i="1"/>
  <c r="G66" i="1"/>
  <c r="K100" i="1"/>
  <c r="K65" i="1"/>
  <c r="K66" i="1"/>
  <c r="I67" i="1"/>
  <c r="I28" i="10"/>
  <c r="E104" i="1"/>
  <c r="E69" i="1"/>
  <c r="H51" i="1"/>
  <c r="H73" i="1"/>
  <c r="I104" i="1"/>
  <c r="D51" i="1"/>
  <c r="I51" i="1"/>
  <c r="I100" i="1"/>
  <c r="D104" i="1"/>
  <c r="H100" i="1"/>
  <c r="H43" i="1"/>
  <c r="G33" i="1"/>
  <c r="G90" i="1"/>
  <c r="F25" i="1"/>
  <c r="F82" i="1"/>
  <c r="F36" i="1"/>
  <c r="F29" i="1"/>
  <c r="F86" i="1"/>
  <c r="F33" i="1"/>
  <c r="J12" i="13"/>
  <c r="K12" i="12"/>
  <c r="K12" i="13"/>
  <c r="F12" i="13"/>
  <c r="J25" i="1"/>
  <c r="J82" i="1"/>
  <c r="J29" i="1"/>
  <c r="J86" i="1"/>
  <c r="D11" i="5"/>
  <c r="O19" i="5"/>
  <c r="N19" i="5"/>
  <c r="M19" i="5"/>
  <c r="L19" i="5"/>
  <c r="K19" i="5"/>
  <c r="J19" i="5"/>
  <c r="I19" i="5"/>
  <c r="G19" i="5"/>
  <c r="F19" i="5"/>
  <c r="E19" i="5"/>
  <c r="D19" i="5"/>
  <c r="C19" i="5"/>
  <c r="O18" i="5"/>
  <c r="N18" i="5"/>
  <c r="M18" i="5"/>
  <c r="L18" i="5"/>
  <c r="K18" i="5"/>
  <c r="J18" i="5"/>
  <c r="I18" i="5"/>
  <c r="G18" i="5"/>
  <c r="F18" i="5"/>
  <c r="E18" i="5"/>
  <c r="D18" i="5"/>
  <c r="C18" i="5"/>
  <c r="O17" i="5"/>
  <c r="N17" i="5"/>
  <c r="M17" i="5"/>
  <c r="L17" i="5"/>
  <c r="K17" i="5"/>
  <c r="J17" i="5"/>
  <c r="I17" i="5"/>
  <c r="G17" i="5"/>
  <c r="F17" i="5"/>
  <c r="E17" i="5"/>
  <c r="D17" i="5"/>
  <c r="C17" i="5"/>
  <c r="O16" i="5"/>
  <c r="N16" i="5"/>
  <c r="M16" i="5"/>
  <c r="L16" i="5"/>
  <c r="K16" i="5"/>
  <c r="J16" i="5"/>
  <c r="I16" i="5"/>
  <c r="G16" i="5"/>
  <c r="F16" i="5"/>
  <c r="E16" i="5"/>
  <c r="D16" i="5"/>
  <c r="C16" i="5"/>
  <c r="O15" i="5"/>
  <c r="N15" i="5"/>
  <c r="M15" i="5"/>
  <c r="L15" i="5"/>
  <c r="K15" i="5"/>
  <c r="J15" i="5"/>
  <c r="I15" i="5"/>
  <c r="G15" i="5"/>
  <c r="F15" i="5"/>
  <c r="E15" i="5"/>
  <c r="D15" i="5"/>
  <c r="C15" i="5"/>
  <c r="O14" i="5"/>
  <c r="N14" i="5"/>
  <c r="M14" i="5"/>
  <c r="L14" i="5"/>
  <c r="K14" i="5"/>
  <c r="J14" i="5"/>
  <c r="I14" i="5"/>
  <c r="G14" i="5"/>
  <c r="F14" i="5"/>
  <c r="E14" i="5"/>
  <c r="D14" i="5"/>
  <c r="C14" i="5"/>
  <c r="O13" i="5"/>
  <c r="N13" i="5"/>
  <c r="M13" i="5"/>
  <c r="L13" i="5"/>
  <c r="K13" i="5"/>
  <c r="J13" i="5"/>
  <c r="I13" i="5"/>
  <c r="G13" i="5"/>
  <c r="F13" i="5"/>
  <c r="E13" i="5"/>
  <c r="D13" i="5"/>
  <c r="C13" i="5"/>
  <c r="O11" i="5"/>
  <c r="N11" i="5"/>
  <c r="M11" i="5"/>
  <c r="L11" i="5"/>
  <c r="K11" i="5"/>
  <c r="J11" i="5"/>
  <c r="I11" i="5"/>
  <c r="G11" i="5"/>
  <c r="F11" i="5"/>
  <c r="E11" i="5"/>
  <c r="C11" i="5"/>
  <c r="C4" i="5"/>
  <c r="E6" i="9"/>
  <c r="R151" i="1"/>
  <c r="R47" i="13"/>
  <c r="N40" i="13"/>
  <c r="J138" i="1"/>
  <c r="I102" i="1"/>
  <c r="E98" i="1"/>
  <c r="E99" i="1"/>
  <c r="L135" i="1"/>
  <c r="K135" i="1"/>
  <c r="J135" i="1"/>
  <c r="I135" i="1"/>
  <c r="H135" i="1"/>
  <c r="G135" i="1"/>
  <c r="F135" i="1"/>
  <c r="E135" i="1"/>
  <c r="D135" i="1"/>
  <c r="M132" i="1"/>
  <c r="D127" i="1"/>
  <c r="E115" i="1"/>
  <c r="F115" i="1"/>
  <c r="H115" i="1"/>
  <c r="I115" i="1"/>
  <c r="J115" i="1"/>
  <c r="K115" i="1"/>
  <c r="I75" i="1"/>
  <c r="L19" i="1"/>
  <c r="F17" i="4"/>
  <c r="F21" i="4"/>
  <c r="L17" i="1"/>
  <c r="R48" i="13"/>
  <c r="Q27" i="5"/>
  <c r="Q28" i="5"/>
  <c r="Q29" i="5"/>
  <c r="Q26" i="5"/>
  <c r="I29" i="5"/>
  <c r="I26" i="5"/>
  <c r="AC15" i="5"/>
  <c r="AC16" i="5"/>
  <c r="AA11" i="5"/>
  <c r="Z19" i="5"/>
  <c r="Q13" i="5"/>
  <c r="Q11" i="5"/>
  <c r="R17" i="5"/>
  <c r="R18" i="5"/>
  <c r="U14" i="5"/>
  <c r="U15" i="5"/>
  <c r="U16" i="5"/>
  <c r="U17" i="5"/>
  <c r="U18" i="5"/>
  <c r="U13" i="5"/>
  <c r="I28" i="5"/>
  <c r="U11" i="5"/>
  <c r="H27" i="5"/>
  <c r="AB13" i="5"/>
  <c r="AB14" i="5"/>
  <c r="Y18" i="5"/>
  <c r="I27" i="5"/>
  <c r="H28" i="5"/>
  <c r="H29" i="5"/>
  <c r="T11" i="5"/>
  <c r="T13" i="5"/>
  <c r="T14" i="5"/>
  <c r="V11" i="5"/>
  <c r="V13" i="5"/>
  <c r="V14" i="5"/>
  <c r="V19" i="5"/>
  <c r="K73" i="1"/>
  <c r="K28" i="14"/>
  <c r="L33" i="1"/>
  <c r="L90" i="1"/>
  <c r="L31" i="14"/>
  <c r="K51" i="1"/>
  <c r="K53" i="1"/>
  <c r="K108" i="1"/>
  <c r="K106" i="1"/>
  <c r="M33" i="1"/>
  <c r="M31" i="1"/>
  <c r="H28" i="10"/>
  <c r="H67" i="1"/>
  <c r="I71" i="1"/>
  <c r="G91" i="1"/>
  <c r="G31" i="14"/>
  <c r="G31" i="13"/>
  <c r="G32" i="13"/>
  <c r="G92" i="1"/>
  <c r="H17" i="14"/>
  <c r="H23" i="14"/>
  <c r="H26" i="14"/>
  <c r="H52" i="1"/>
  <c r="H53" i="1"/>
  <c r="H108" i="1"/>
  <c r="H106" i="1"/>
  <c r="D92" i="1"/>
  <c r="D31" i="14"/>
  <c r="D31" i="13"/>
  <c r="D32" i="13"/>
  <c r="D91" i="1"/>
  <c r="F83" i="1"/>
  <c r="F32" i="10"/>
  <c r="F84" i="1"/>
  <c r="F31" i="10"/>
  <c r="I74" i="1"/>
  <c r="H28" i="14"/>
  <c r="H44" i="1"/>
  <c r="H45" i="1"/>
  <c r="E17" i="14"/>
  <c r="E23" i="14"/>
  <c r="E26" i="14"/>
  <c r="E52" i="1"/>
  <c r="E53" i="1"/>
  <c r="E108" i="1"/>
  <c r="E106" i="1"/>
  <c r="D75" i="1"/>
  <c r="D28" i="14"/>
  <c r="H32" i="14"/>
  <c r="H32" i="12"/>
  <c r="D48" i="1"/>
  <c r="D49" i="1"/>
  <c r="O128" i="1"/>
  <c r="I83" i="1"/>
  <c r="I32" i="10"/>
  <c r="I84" i="1"/>
  <c r="I31" i="10"/>
  <c r="I92" i="1"/>
  <c r="I31" i="14"/>
  <c r="I91" i="1"/>
  <c r="K32" i="14"/>
  <c r="K32" i="12"/>
  <c r="J87" i="1"/>
  <c r="J31" i="12"/>
  <c r="J88" i="1"/>
  <c r="F87" i="1"/>
  <c r="F88" i="1"/>
  <c r="F31" i="12"/>
  <c r="D17" i="14"/>
  <c r="D23" i="14"/>
  <c r="D26" i="14"/>
  <c r="D53" i="1"/>
  <c r="D108" i="1"/>
  <c r="D106" i="1"/>
  <c r="D52" i="1"/>
  <c r="J17" i="14"/>
  <c r="J52" i="1"/>
  <c r="J53" i="1"/>
  <c r="J108" i="1"/>
  <c r="J106" i="1"/>
  <c r="K92" i="1"/>
  <c r="K31" i="14"/>
  <c r="K31" i="13"/>
  <c r="K32" i="13"/>
  <c r="K91" i="1"/>
  <c r="H83" i="1"/>
  <c r="H32" i="10"/>
  <c r="H31" i="10"/>
  <c r="H31" i="13"/>
  <c r="H32" i="13"/>
  <c r="H84" i="1"/>
  <c r="F73" i="1"/>
  <c r="F28" i="14"/>
  <c r="F90" i="1"/>
  <c r="I17" i="14"/>
  <c r="I23" i="14"/>
  <c r="I26" i="14"/>
  <c r="I52" i="1"/>
  <c r="I53" i="1"/>
  <c r="I108" i="1"/>
  <c r="R33" i="1"/>
  <c r="R90" i="1"/>
  <c r="J83" i="1"/>
  <c r="J32" i="10"/>
  <c r="J84" i="1"/>
  <c r="J31" i="10"/>
  <c r="I87" i="1"/>
  <c r="I88" i="1"/>
  <c r="I31" i="12"/>
  <c r="I28" i="13"/>
  <c r="I29" i="13"/>
  <c r="P144" i="1"/>
  <c r="Q144" i="1"/>
  <c r="R144" i="1"/>
  <c r="O145" i="1"/>
  <c r="O41" i="14"/>
  <c r="J100" i="1"/>
  <c r="J98" i="1"/>
  <c r="J99" i="1"/>
  <c r="J65" i="1"/>
  <c r="J66" i="1"/>
  <c r="J74" i="1"/>
  <c r="J75" i="1"/>
  <c r="H75" i="1"/>
  <c r="G29" i="10"/>
  <c r="G67" i="1"/>
  <c r="G28" i="10"/>
  <c r="K74" i="1"/>
  <c r="K75" i="1"/>
  <c r="G71" i="1"/>
  <c r="G28" i="12"/>
  <c r="E70" i="1"/>
  <c r="E29" i="14"/>
  <c r="E71" i="1"/>
  <c r="E28" i="12"/>
  <c r="E74" i="1"/>
  <c r="E75" i="1"/>
  <c r="H70" i="1"/>
  <c r="H28" i="12"/>
  <c r="I70" i="1"/>
  <c r="H71" i="1"/>
  <c r="K28" i="12"/>
  <c r="K71" i="1"/>
  <c r="F104" i="1"/>
  <c r="F102" i="1"/>
  <c r="F69" i="1"/>
  <c r="G70" i="1"/>
  <c r="H29" i="10"/>
  <c r="G51" i="1"/>
  <c r="G73" i="1"/>
  <c r="G28" i="14"/>
  <c r="J104" i="1"/>
  <c r="J102" i="1"/>
  <c r="J69" i="1"/>
  <c r="F100" i="1"/>
  <c r="F98" i="1"/>
  <c r="F99" i="1"/>
  <c r="F65" i="1"/>
  <c r="F66" i="1"/>
  <c r="L31" i="1"/>
  <c r="L92" i="1"/>
  <c r="L73" i="1"/>
  <c r="L28" i="14"/>
  <c r="K67" i="1"/>
  <c r="K28" i="10"/>
  <c r="K29" i="10"/>
  <c r="D28" i="12"/>
  <c r="D71" i="1"/>
  <c r="M25" i="1"/>
  <c r="F51" i="1"/>
  <c r="L29" i="1"/>
  <c r="M29" i="1"/>
  <c r="L25" i="1"/>
  <c r="E12" i="13"/>
  <c r="G12" i="13"/>
  <c r="I121" i="1"/>
  <c r="I43" i="1"/>
  <c r="I47" i="1"/>
  <c r="L121" i="1"/>
  <c r="E35" i="10"/>
  <c r="E34" i="10"/>
  <c r="K121" i="1"/>
  <c r="K47" i="1"/>
  <c r="K43" i="1"/>
  <c r="M121" i="1"/>
  <c r="H103" i="1"/>
  <c r="H34" i="12"/>
  <c r="I12" i="13"/>
  <c r="H12" i="13"/>
  <c r="I103" i="1"/>
  <c r="I34" i="12"/>
  <c r="G121" i="1"/>
  <c r="G43" i="1"/>
  <c r="G47" i="1"/>
  <c r="J121" i="1"/>
  <c r="J122" i="1"/>
  <c r="J43" i="1"/>
  <c r="J47" i="1"/>
  <c r="D121" i="1"/>
  <c r="K103" i="1"/>
  <c r="K34" i="12"/>
  <c r="H121" i="1"/>
  <c r="H122" i="1"/>
  <c r="H47" i="1"/>
  <c r="E121" i="1"/>
  <c r="E122" i="1"/>
  <c r="E47" i="1"/>
  <c r="E43" i="1"/>
  <c r="F121" i="1"/>
  <c r="F122" i="1"/>
  <c r="F47" i="1"/>
  <c r="F43" i="1"/>
  <c r="F159" i="1"/>
  <c r="G159" i="1"/>
  <c r="H159" i="1"/>
  <c r="D6" i="13"/>
  <c r="D6" i="12"/>
  <c r="D6" i="10"/>
  <c r="N40" i="10"/>
  <c r="N40" i="12"/>
  <c r="M138" i="1"/>
  <c r="F138" i="1"/>
  <c r="F139" i="1"/>
  <c r="G138" i="1"/>
  <c r="G139" i="1"/>
  <c r="G98" i="1"/>
  <c r="G99" i="1"/>
  <c r="I138" i="1"/>
  <c r="I139" i="1"/>
  <c r="I98" i="1"/>
  <c r="I99" i="1"/>
  <c r="K138" i="1"/>
  <c r="K139" i="1"/>
  <c r="K98" i="1"/>
  <c r="K99" i="1"/>
  <c r="L138" i="1"/>
  <c r="E102" i="1"/>
  <c r="H138" i="1"/>
  <c r="H139" i="1"/>
  <c r="H98" i="1"/>
  <c r="H99" i="1"/>
  <c r="G102" i="1"/>
  <c r="E28" i="9"/>
  <c r="E24" i="9"/>
  <c r="E21" i="9"/>
  <c r="E23" i="9"/>
  <c r="E22" i="9"/>
  <c r="E25" i="9"/>
  <c r="E20" i="9"/>
  <c r="E19" i="9"/>
  <c r="E27" i="9"/>
  <c r="E26" i="9"/>
  <c r="E138" i="1"/>
  <c r="E139" i="1"/>
  <c r="E112" i="1"/>
  <c r="M135" i="1"/>
  <c r="M79" i="1"/>
  <c r="D132" i="1"/>
  <c r="D133" i="1"/>
  <c r="I132" i="1"/>
  <c r="I133" i="1"/>
  <c r="I79" i="1"/>
  <c r="L132" i="1"/>
  <c r="L79" i="1"/>
  <c r="F132" i="1"/>
  <c r="F133" i="1"/>
  <c r="F79" i="1"/>
  <c r="K132" i="1"/>
  <c r="K133" i="1"/>
  <c r="K79" i="1"/>
  <c r="G132" i="1"/>
  <c r="G133" i="1"/>
  <c r="G79" i="1"/>
  <c r="E132" i="1"/>
  <c r="E133" i="1"/>
  <c r="E79" i="1"/>
  <c r="H132" i="1"/>
  <c r="H133" i="1"/>
  <c r="H79" i="1"/>
  <c r="J132" i="1"/>
  <c r="J133" i="1"/>
  <c r="J79" i="1"/>
  <c r="T15" i="5"/>
  <c r="V15" i="5"/>
  <c r="Q14" i="5"/>
  <c r="Q15" i="5"/>
  <c r="Q16" i="5"/>
  <c r="Q17" i="5"/>
  <c r="Q18" i="5"/>
  <c r="Q19" i="5"/>
  <c r="R11" i="5"/>
  <c r="R13" i="5"/>
  <c r="R15" i="5"/>
  <c r="R16" i="5"/>
  <c r="R19" i="5"/>
  <c r="S11" i="5"/>
  <c r="S13" i="5"/>
  <c r="S14" i="5"/>
  <c r="S15" i="5"/>
  <c r="S16" i="5"/>
  <c r="S18" i="5"/>
  <c r="S19" i="5"/>
  <c r="T16" i="5"/>
  <c r="T17" i="5"/>
  <c r="T18" i="5"/>
  <c r="T19" i="5"/>
  <c r="U19" i="5"/>
  <c r="V16" i="5"/>
  <c r="V17" i="5"/>
  <c r="V18" i="5"/>
  <c r="AB15" i="5"/>
  <c r="AB11" i="5"/>
  <c r="AC17" i="5"/>
  <c r="Z18" i="5"/>
  <c r="AC18" i="5"/>
  <c r="R14" i="5"/>
  <c r="Y19" i="5"/>
  <c r="AA13" i="5"/>
  <c r="AB16" i="5"/>
  <c r="AC19" i="5"/>
  <c r="S17" i="5"/>
  <c r="AA14" i="5"/>
  <c r="AB17" i="5"/>
  <c r="Z11" i="5"/>
  <c r="AA15" i="5"/>
  <c r="AB18" i="5"/>
  <c r="Z13" i="5"/>
  <c r="AA16" i="5"/>
  <c r="AB19" i="5"/>
  <c r="Z14" i="5"/>
  <c r="AA17" i="5"/>
  <c r="Y11" i="5"/>
  <c r="Z15" i="5"/>
  <c r="AA18" i="5"/>
  <c r="AC11" i="5"/>
  <c r="Y13" i="5"/>
  <c r="Z16" i="5"/>
  <c r="AA19" i="5"/>
  <c r="AC13" i="5"/>
  <c r="Y14" i="5"/>
  <c r="Z17" i="5"/>
  <c r="AC14" i="5"/>
  <c r="Y15" i="5"/>
  <c r="Y16" i="5"/>
  <c r="Y17" i="5"/>
  <c r="X13" i="5"/>
  <c r="X15" i="5"/>
  <c r="X16" i="5"/>
  <c r="X17" i="5"/>
  <c r="X18" i="5"/>
  <c r="X11" i="5"/>
  <c r="X19" i="5"/>
  <c r="X14" i="5"/>
  <c r="N41" i="13"/>
  <c r="J139" i="1"/>
  <c r="K136" i="1"/>
  <c r="D136" i="1"/>
  <c r="F136" i="1"/>
  <c r="E136" i="1"/>
  <c r="G136" i="1"/>
  <c r="H136" i="1"/>
  <c r="I136" i="1"/>
  <c r="J136" i="1"/>
  <c r="I116" i="1"/>
  <c r="E116" i="1"/>
  <c r="H78" i="1"/>
  <c r="J116" i="1"/>
  <c r="F116" i="1"/>
  <c r="K116" i="1"/>
  <c r="G115" i="1"/>
  <c r="G116" i="1"/>
  <c r="J111" i="1"/>
  <c r="K112" i="1"/>
  <c r="F56" i="1"/>
  <c r="J78" i="1"/>
  <c r="K36" i="1"/>
  <c r="K95" i="1"/>
  <c r="G56" i="1"/>
  <c r="K78" i="1"/>
  <c r="J56" i="1"/>
  <c r="I78" i="1"/>
  <c r="K56" i="1"/>
  <c r="F95" i="1"/>
  <c r="E78" i="1"/>
  <c r="K111" i="1"/>
  <c r="J36" i="1"/>
  <c r="G112" i="1"/>
  <c r="H56" i="1"/>
  <c r="G95" i="1"/>
  <c r="F78" i="1"/>
  <c r="H95" i="1"/>
  <c r="E95" i="1"/>
  <c r="G78" i="1"/>
  <c r="I95" i="1"/>
  <c r="J95" i="1"/>
  <c r="E56" i="1"/>
  <c r="I112" i="1"/>
  <c r="J112" i="1"/>
  <c r="G36" i="1"/>
  <c r="I56" i="1"/>
  <c r="G111" i="1"/>
  <c r="F112" i="1"/>
  <c r="H36" i="1"/>
  <c r="I111" i="1"/>
  <c r="I36" i="1"/>
  <c r="E111" i="1"/>
  <c r="F111" i="1"/>
  <c r="H112" i="1"/>
  <c r="H111" i="1"/>
  <c r="K17" i="14"/>
  <c r="K23" i="14"/>
  <c r="K26" i="14"/>
  <c r="M73" i="1"/>
  <c r="M28" i="14"/>
  <c r="O33" i="1"/>
  <c r="L91" i="1"/>
  <c r="R25" i="1"/>
  <c r="M90" i="1"/>
  <c r="N33" i="1"/>
  <c r="N90" i="1"/>
  <c r="H17" i="1"/>
  <c r="P17" i="1"/>
  <c r="M100" i="1"/>
  <c r="M98" i="1"/>
  <c r="M23" i="1"/>
  <c r="M74" i="1"/>
  <c r="Q33" i="1"/>
  <c r="Q90" i="1"/>
  <c r="Q91" i="1"/>
  <c r="K52" i="1"/>
  <c r="M51" i="1"/>
  <c r="P33" i="1"/>
  <c r="Q21" i="5"/>
  <c r="D29" i="5"/>
  <c r="L29" i="5"/>
  <c r="T29" i="5"/>
  <c r="X29" i="5"/>
  <c r="D26" i="5"/>
  <c r="X26" i="5"/>
  <c r="F29" i="5"/>
  <c r="V29" i="5"/>
  <c r="Z29" i="5"/>
  <c r="F26" i="5"/>
  <c r="V26" i="5"/>
  <c r="Z26" i="5"/>
  <c r="E29" i="5"/>
  <c r="M29" i="5"/>
  <c r="U29" i="5"/>
  <c r="Y29" i="5"/>
  <c r="E26" i="5"/>
  <c r="M26" i="5"/>
  <c r="Y26" i="5"/>
  <c r="J31" i="13"/>
  <c r="J32" i="13"/>
  <c r="O29" i="1"/>
  <c r="O86" i="1"/>
  <c r="O87" i="1"/>
  <c r="O32" i="14"/>
  <c r="R31" i="1"/>
  <c r="H28" i="13"/>
  <c r="H29" i="13"/>
  <c r="G28" i="13"/>
  <c r="G29" i="13"/>
  <c r="F75" i="1"/>
  <c r="R29" i="1"/>
  <c r="R86" i="1"/>
  <c r="R87" i="1"/>
  <c r="R32" i="14"/>
  <c r="R82" i="1"/>
  <c r="R83" i="1"/>
  <c r="R23" i="1"/>
  <c r="G29" i="12"/>
  <c r="G29" i="14"/>
  <c r="K44" i="1"/>
  <c r="K18" i="10"/>
  <c r="K45" i="1"/>
  <c r="J23" i="14"/>
  <c r="J26" i="14"/>
  <c r="N31" i="14"/>
  <c r="N91" i="1"/>
  <c r="M69" i="1"/>
  <c r="M86" i="1"/>
  <c r="D34" i="14"/>
  <c r="D37" i="14"/>
  <c r="D107" i="1"/>
  <c r="L69" i="1"/>
  <c r="L70" i="1"/>
  <c r="L86" i="1"/>
  <c r="M82" i="1"/>
  <c r="M65" i="1"/>
  <c r="M66" i="1"/>
  <c r="M99" i="1"/>
  <c r="M35" i="10"/>
  <c r="I29" i="12"/>
  <c r="I29" i="14"/>
  <c r="I32" i="14"/>
  <c r="I32" i="12"/>
  <c r="R31" i="14"/>
  <c r="R91" i="1"/>
  <c r="K107" i="1"/>
  <c r="K34" i="14"/>
  <c r="K37" i="14"/>
  <c r="N29" i="1"/>
  <c r="N86" i="1"/>
  <c r="N87" i="1"/>
  <c r="N32" i="14"/>
  <c r="M32" i="1"/>
  <c r="M11" i="14"/>
  <c r="G45" i="1"/>
  <c r="G44" i="1"/>
  <c r="G18" i="10"/>
  <c r="I35" i="12"/>
  <c r="I35" i="14"/>
  <c r="G17" i="14"/>
  <c r="G23" i="14"/>
  <c r="G26" i="14"/>
  <c r="G52" i="1"/>
  <c r="G53" i="1"/>
  <c r="G108" i="1"/>
  <c r="G106" i="1"/>
  <c r="N51" i="1"/>
  <c r="N53" i="1"/>
  <c r="O90" i="1"/>
  <c r="O51" i="1"/>
  <c r="O53" i="1"/>
  <c r="I106" i="1"/>
  <c r="D18" i="14"/>
  <c r="D18" i="12"/>
  <c r="H48" i="1"/>
  <c r="H18" i="14"/>
  <c r="H49" i="1"/>
  <c r="I49" i="1"/>
  <c r="I48" i="1"/>
  <c r="I18" i="14"/>
  <c r="O31" i="1"/>
  <c r="O52" i="1"/>
  <c r="H29" i="12"/>
  <c r="H29" i="14"/>
  <c r="N31" i="1"/>
  <c r="O32" i="1"/>
  <c r="Q31" i="14"/>
  <c r="E107" i="1"/>
  <c r="E34" i="14"/>
  <c r="E37" i="14"/>
  <c r="G48" i="1"/>
  <c r="G18" i="14"/>
  <c r="G49" i="1"/>
  <c r="E45" i="1"/>
  <c r="E44" i="1"/>
  <c r="E18" i="10"/>
  <c r="K35" i="12"/>
  <c r="K35" i="14"/>
  <c r="I44" i="1"/>
  <c r="I18" i="10"/>
  <c r="I45" i="1"/>
  <c r="R51" i="1"/>
  <c r="R53" i="1"/>
  <c r="P51" i="1"/>
  <c r="P53" i="1"/>
  <c r="Q25" i="1"/>
  <c r="F32" i="14"/>
  <c r="F32" i="12"/>
  <c r="F91" i="1"/>
  <c r="F31" i="14"/>
  <c r="F31" i="13"/>
  <c r="F32" i="13"/>
  <c r="F92" i="1"/>
  <c r="H107" i="1"/>
  <c r="H34" i="14"/>
  <c r="H37" i="14"/>
  <c r="J49" i="1"/>
  <c r="J48" i="1"/>
  <c r="J18" i="14"/>
  <c r="H35" i="12"/>
  <c r="H35" i="14"/>
  <c r="F17" i="14"/>
  <c r="F52" i="1"/>
  <c r="F53" i="1"/>
  <c r="F108" i="1"/>
  <c r="F106" i="1"/>
  <c r="K48" i="1"/>
  <c r="K18" i="14"/>
  <c r="K49" i="1"/>
  <c r="F45" i="1"/>
  <c r="F44" i="1"/>
  <c r="F18" i="10"/>
  <c r="J44" i="1"/>
  <c r="J18" i="10"/>
  <c r="J45" i="1"/>
  <c r="M43" i="1"/>
  <c r="M17" i="10"/>
  <c r="Q31" i="1"/>
  <c r="F74" i="1"/>
  <c r="M91" i="1"/>
  <c r="M31" i="14"/>
  <c r="M92" i="1"/>
  <c r="R92" i="1"/>
  <c r="J32" i="14"/>
  <c r="J32" i="12"/>
  <c r="I31" i="13"/>
  <c r="I32" i="13"/>
  <c r="F48" i="1"/>
  <c r="F18" i="14"/>
  <c r="F49" i="1"/>
  <c r="M17" i="14"/>
  <c r="M23" i="14"/>
  <c r="M26" i="14"/>
  <c r="M53" i="1"/>
  <c r="M108" i="1"/>
  <c r="M106" i="1"/>
  <c r="M52" i="1"/>
  <c r="L32" i="1"/>
  <c r="L11" i="14"/>
  <c r="J107" i="1"/>
  <c r="J34" i="14"/>
  <c r="P29" i="1"/>
  <c r="E48" i="1"/>
  <c r="E18" i="14"/>
  <c r="E49" i="1"/>
  <c r="L82" i="1"/>
  <c r="L84" i="1"/>
  <c r="L23" i="1"/>
  <c r="L24" i="1"/>
  <c r="N25" i="1"/>
  <c r="N43" i="1"/>
  <c r="N45" i="1"/>
  <c r="O25" i="1"/>
  <c r="P25" i="1"/>
  <c r="P128" i="1"/>
  <c r="Q128" i="1"/>
  <c r="R128" i="1"/>
  <c r="Q29" i="1"/>
  <c r="D28" i="13"/>
  <c r="D29" i="13"/>
  <c r="K28" i="13"/>
  <c r="K29" i="13"/>
  <c r="E28" i="13"/>
  <c r="E29" i="13"/>
  <c r="D18" i="1"/>
  <c r="D5" i="14"/>
  <c r="J28" i="12"/>
  <c r="J71" i="1"/>
  <c r="J70" i="1"/>
  <c r="K70" i="1"/>
  <c r="G74" i="1"/>
  <c r="G75" i="1"/>
  <c r="L65" i="1"/>
  <c r="L66" i="1"/>
  <c r="E29" i="12"/>
  <c r="H74" i="1"/>
  <c r="M28" i="12"/>
  <c r="L74" i="1"/>
  <c r="L75" i="1"/>
  <c r="L28" i="12"/>
  <c r="F71" i="1"/>
  <c r="F28" i="12"/>
  <c r="F70" i="1"/>
  <c r="J29" i="10"/>
  <c r="J67" i="1"/>
  <c r="J28" i="10"/>
  <c r="F67" i="1"/>
  <c r="F28" i="10"/>
  <c r="F29" i="10"/>
  <c r="M75" i="1"/>
  <c r="M27" i="1"/>
  <c r="M104" i="1"/>
  <c r="M102" i="1"/>
  <c r="M47" i="1"/>
  <c r="L43" i="1"/>
  <c r="K122" i="1"/>
  <c r="D122" i="1"/>
  <c r="E17" i="12"/>
  <c r="H35" i="10"/>
  <c r="H34" i="10"/>
  <c r="F103" i="1"/>
  <c r="F34" i="12"/>
  <c r="D17" i="10"/>
  <c r="E103" i="1"/>
  <c r="E34" i="12"/>
  <c r="J103" i="1"/>
  <c r="J34" i="12"/>
  <c r="D17" i="12"/>
  <c r="G35" i="10"/>
  <c r="G34" i="10"/>
  <c r="I122" i="1"/>
  <c r="G103" i="1"/>
  <c r="G34" i="12"/>
  <c r="J35" i="10"/>
  <c r="J34" i="10"/>
  <c r="J17" i="12"/>
  <c r="K35" i="10"/>
  <c r="K34" i="10"/>
  <c r="J17" i="10"/>
  <c r="K17" i="12"/>
  <c r="F17" i="10"/>
  <c r="G122" i="1"/>
  <c r="F35" i="10"/>
  <c r="F34" i="10"/>
  <c r="M34" i="10"/>
  <c r="F17" i="12"/>
  <c r="H17" i="12"/>
  <c r="G17" i="12"/>
  <c r="I17" i="12"/>
  <c r="E17" i="10"/>
  <c r="I35" i="10"/>
  <c r="I34" i="10"/>
  <c r="H17" i="10"/>
  <c r="H18" i="10"/>
  <c r="G17" i="10"/>
  <c r="K17" i="10"/>
  <c r="I17" i="10"/>
  <c r="E159" i="1"/>
  <c r="D159" i="1"/>
  <c r="O41" i="12"/>
  <c r="N41" i="10"/>
  <c r="N41" i="12"/>
  <c r="E9" i="9"/>
  <c r="E10" i="9"/>
  <c r="E30" i="9"/>
  <c r="E8" i="9"/>
  <c r="AC21" i="5"/>
  <c r="F27" i="5"/>
  <c r="V27" i="5"/>
  <c r="Z27" i="5"/>
  <c r="AC22" i="5"/>
  <c r="F28" i="5"/>
  <c r="V28" i="5"/>
  <c r="Z28" i="5"/>
  <c r="S21" i="5"/>
  <c r="S22" i="5"/>
  <c r="V21" i="5"/>
  <c r="V22" i="5"/>
  <c r="Q22" i="5"/>
  <c r="T21" i="5"/>
  <c r="T22" i="5"/>
  <c r="U21" i="5"/>
  <c r="U22" i="5"/>
  <c r="AB21" i="5"/>
  <c r="AB22" i="5"/>
  <c r="AA21" i="5"/>
  <c r="E27" i="5"/>
  <c r="M27" i="5"/>
  <c r="U27" i="5"/>
  <c r="Y27" i="5"/>
  <c r="AA22" i="5"/>
  <c r="E28" i="5"/>
  <c r="M28" i="5"/>
  <c r="Z21" i="5"/>
  <c r="Z22" i="5"/>
  <c r="R21" i="5"/>
  <c r="R22" i="5"/>
  <c r="X21" i="5"/>
  <c r="X22" i="5"/>
  <c r="Y21" i="5"/>
  <c r="D27" i="5"/>
  <c r="L27" i="5"/>
  <c r="T27" i="5"/>
  <c r="X27" i="5"/>
  <c r="Y22" i="5"/>
  <c r="D28" i="5"/>
  <c r="L28" i="5"/>
  <c r="H116" i="1"/>
  <c r="O27" i="1"/>
  <c r="H18" i="12"/>
  <c r="G18" i="12"/>
  <c r="Q51" i="1"/>
  <c r="Q53" i="1"/>
  <c r="O47" i="1"/>
  <c r="O49" i="1"/>
  <c r="P90" i="1"/>
  <c r="P31" i="1"/>
  <c r="K18" i="12"/>
  <c r="M24" i="1"/>
  <c r="M12" i="10"/>
  <c r="P32" i="1"/>
  <c r="O92" i="1"/>
  <c r="E18" i="12"/>
  <c r="M103" i="1"/>
  <c r="M35" i="12"/>
  <c r="F18" i="12"/>
  <c r="R32" i="1"/>
  <c r="N32" i="1"/>
  <c r="M70" i="1"/>
  <c r="E34" i="13"/>
  <c r="E35" i="13"/>
  <c r="L11" i="10"/>
  <c r="R52" i="1"/>
  <c r="N92" i="1"/>
  <c r="R27" i="1"/>
  <c r="R35" i="1"/>
  <c r="R95" i="1"/>
  <c r="J34" i="13"/>
  <c r="J35" i="13"/>
  <c r="J37" i="14"/>
  <c r="N52" i="1"/>
  <c r="J29" i="12"/>
  <c r="J29" i="14"/>
  <c r="Q86" i="1"/>
  <c r="Q87" i="1"/>
  <c r="Q32" i="14"/>
  <c r="Q27" i="1"/>
  <c r="L87" i="1"/>
  <c r="L31" i="12"/>
  <c r="O31" i="14"/>
  <c r="O91" i="1"/>
  <c r="L44" i="1"/>
  <c r="L18" i="10"/>
  <c r="L45" i="1"/>
  <c r="Q92" i="1"/>
  <c r="G107" i="1"/>
  <c r="G34" i="14"/>
  <c r="G37" i="14"/>
  <c r="M29" i="12"/>
  <c r="M29" i="14"/>
  <c r="P82" i="1"/>
  <c r="P83" i="1"/>
  <c r="P23" i="1"/>
  <c r="P92" i="1"/>
  <c r="J35" i="12"/>
  <c r="J35" i="14"/>
  <c r="I18" i="12"/>
  <c r="Q32" i="1"/>
  <c r="O82" i="1"/>
  <c r="O83" i="1"/>
  <c r="O43" i="1"/>
  <c r="O23" i="1"/>
  <c r="O35" i="1"/>
  <c r="O56" i="1"/>
  <c r="O124" i="1"/>
  <c r="M87" i="1"/>
  <c r="M31" i="12"/>
  <c r="M48" i="1"/>
  <c r="M18" i="14"/>
  <c r="M49" i="1"/>
  <c r="N23" i="1"/>
  <c r="N24" i="1"/>
  <c r="N82" i="1"/>
  <c r="N83" i="1"/>
  <c r="M34" i="14"/>
  <c r="M37" i="14"/>
  <c r="M107" i="1"/>
  <c r="K29" i="12"/>
  <c r="K29" i="14"/>
  <c r="J18" i="12"/>
  <c r="E35" i="12"/>
  <c r="E35" i="14"/>
  <c r="F35" i="12"/>
  <c r="F35" i="14"/>
  <c r="M35" i="14"/>
  <c r="F107" i="1"/>
  <c r="F34" i="14"/>
  <c r="P86" i="1"/>
  <c r="P87" i="1"/>
  <c r="P32" i="14"/>
  <c r="P27" i="1"/>
  <c r="P28" i="1"/>
  <c r="F34" i="13"/>
  <c r="F35" i="13"/>
  <c r="G35" i="12"/>
  <c r="G35" i="14"/>
  <c r="F29" i="12"/>
  <c r="F29" i="14"/>
  <c r="P52" i="1"/>
  <c r="L83" i="1"/>
  <c r="L32" i="10"/>
  <c r="L31" i="10"/>
  <c r="M44" i="1"/>
  <c r="M18" i="10"/>
  <c r="M45" i="1"/>
  <c r="F23" i="14"/>
  <c r="F26" i="14"/>
  <c r="I107" i="1"/>
  <c r="I34" i="14"/>
  <c r="I37" i="14"/>
  <c r="L29" i="12"/>
  <c r="L29" i="14"/>
  <c r="Q82" i="1"/>
  <c r="Q83" i="1"/>
  <c r="Q23" i="1"/>
  <c r="R24" i="1"/>
  <c r="M83" i="1"/>
  <c r="M32" i="10"/>
  <c r="M31" i="10"/>
  <c r="D17" i="13"/>
  <c r="D23" i="10"/>
  <c r="D26" i="10"/>
  <c r="J28" i="13"/>
  <c r="J29" i="13"/>
  <c r="I23" i="10"/>
  <c r="I26" i="10"/>
  <c r="I37" i="10"/>
  <c r="I17" i="13"/>
  <c r="M23" i="10"/>
  <c r="M26" i="10"/>
  <c r="F23" i="10"/>
  <c r="F26" i="10"/>
  <c r="F37" i="10"/>
  <c r="F17" i="13"/>
  <c r="H34" i="13"/>
  <c r="H35" i="13"/>
  <c r="K23" i="10"/>
  <c r="K26" i="10"/>
  <c r="K37" i="10"/>
  <c r="K17" i="13"/>
  <c r="G23" i="10"/>
  <c r="G26" i="10"/>
  <c r="G37" i="10"/>
  <c r="G17" i="13"/>
  <c r="H23" i="10"/>
  <c r="H17" i="13"/>
  <c r="J23" i="10"/>
  <c r="J26" i="10"/>
  <c r="J37" i="10"/>
  <c r="J17" i="13"/>
  <c r="K34" i="13"/>
  <c r="K35" i="13"/>
  <c r="F28" i="13"/>
  <c r="F29" i="13"/>
  <c r="E23" i="10"/>
  <c r="E17" i="13"/>
  <c r="C162" i="1"/>
  <c r="D5" i="13"/>
  <c r="D5" i="12"/>
  <c r="D5" i="10"/>
  <c r="L28" i="10"/>
  <c r="L28" i="13"/>
  <c r="L29" i="10"/>
  <c r="L67" i="1"/>
  <c r="M28" i="10"/>
  <c r="M28" i="13"/>
  <c r="M29" i="10"/>
  <c r="M67" i="1"/>
  <c r="M84" i="1"/>
  <c r="Q84" i="1"/>
  <c r="M11" i="10"/>
  <c r="O70" i="1"/>
  <c r="P70" i="1"/>
  <c r="Q70" i="1"/>
  <c r="R70" i="1"/>
  <c r="N70" i="1"/>
  <c r="L17" i="10"/>
  <c r="M17" i="12"/>
  <c r="M17" i="13"/>
  <c r="M11" i="12"/>
  <c r="M71" i="1"/>
  <c r="M88" i="1"/>
  <c r="M35" i="1"/>
  <c r="L12" i="10"/>
  <c r="M34" i="12"/>
  <c r="H23" i="12"/>
  <c r="H26" i="12"/>
  <c r="H37" i="12"/>
  <c r="J23" i="12"/>
  <c r="J26" i="12"/>
  <c r="J37" i="12"/>
  <c r="D23" i="12"/>
  <c r="F23" i="12"/>
  <c r="I23" i="12"/>
  <c r="E23" i="12"/>
  <c r="G23" i="12"/>
  <c r="K23" i="12"/>
  <c r="K26" i="12"/>
  <c r="K37" i="12"/>
  <c r="O41" i="10"/>
  <c r="P145" i="1"/>
  <c r="O41" i="13"/>
  <c r="E11" i="9"/>
  <c r="E14" i="9"/>
  <c r="R154" i="1"/>
  <c r="Q52" i="1"/>
  <c r="M34" i="13"/>
  <c r="O48" i="1"/>
  <c r="O20" i="12"/>
  <c r="O18" i="12"/>
  <c r="O125" i="1"/>
  <c r="O20" i="14"/>
  <c r="O18" i="14"/>
  <c r="O20" i="10"/>
  <c r="O18" i="10"/>
  <c r="P124" i="1"/>
  <c r="Q118" i="1"/>
  <c r="N44" i="1"/>
  <c r="P31" i="14"/>
  <c r="P91" i="1"/>
  <c r="G34" i="13"/>
  <c r="G35" i="13"/>
  <c r="O24" i="1"/>
  <c r="M37" i="10"/>
  <c r="O95" i="1"/>
  <c r="F37" i="14"/>
  <c r="N29" i="12"/>
  <c r="N29" i="14"/>
  <c r="Q35" i="1"/>
  <c r="Q95" i="1"/>
  <c r="Q24" i="1"/>
  <c r="P29" i="12"/>
  <c r="P29" i="14"/>
  <c r="I34" i="13"/>
  <c r="I35" i="13"/>
  <c r="M31" i="13"/>
  <c r="O29" i="12"/>
  <c r="O29" i="14"/>
  <c r="M32" i="14"/>
  <c r="M32" i="12"/>
  <c r="P24" i="1"/>
  <c r="P35" i="1"/>
  <c r="P95" i="1"/>
  <c r="L31" i="13"/>
  <c r="L32" i="14"/>
  <c r="L32" i="12"/>
  <c r="Q29" i="12"/>
  <c r="Q29" i="14"/>
  <c r="O45" i="1"/>
  <c r="O44" i="1"/>
  <c r="Q28" i="1"/>
  <c r="R28" i="1"/>
  <c r="H23" i="13"/>
  <c r="H26" i="13"/>
  <c r="H37" i="13"/>
  <c r="R29" i="12"/>
  <c r="R29" i="14"/>
  <c r="N84" i="1"/>
  <c r="H26" i="10"/>
  <c r="H37" i="10"/>
  <c r="J23" i="13"/>
  <c r="J26" i="13"/>
  <c r="J37" i="13"/>
  <c r="L23" i="10"/>
  <c r="L26" i="10"/>
  <c r="F23" i="13"/>
  <c r="F26" i="13"/>
  <c r="F37" i="13"/>
  <c r="E23" i="13"/>
  <c r="E26" i="13"/>
  <c r="E37" i="13"/>
  <c r="E26" i="10"/>
  <c r="E37" i="10"/>
  <c r="G23" i="13"/>
  <c r="G26" i="13"/>
  <c r="I23" i="13"/>
  <c r="I26" i="13"/>
  <c r="K23" i="13"/>
  <c r="K26" i="13"/>
  <c r="K37" i="13"/>
  <c r="D23" i="13"/>
  <c r="D26" i="13"/>
  <c r="M11" i="13"/>
  <c r="P41" i="12"/>
  <c r="P41" i="14"/>
  <c r="C163" i="1"/>
  <c r="C164" i="1"/>
  <c r="C161" i="1"/>
  <c r="C160" i="1"/>
  <c r="O84" i="1"/>
  <c r="O31" i="10"/>
  <c r="R84" i="1"/>
  <c r="P84" i="1"/>
  <c r="N67" i="1"/>
  <c r="M23" i="12"/>
  <c r="M26" i="12"/>
  <c r="M37" i="12"/>
  <c r="M115" i="1"/>
  <c r="M78" i="1"/>
  <c r="M133" i="1"/>
  <c r="M95" i="1"/>
  <c r="M111" i="1"/>
  <c r="M56" i="1"/>
  <c r="M136" i="1"/>
  <c r="M139" i="1"/>
  <c r="M122" i="1"/>
  <c r="G26" i="12"/>
  <c r="G37" i="12"/>
  <c r="E26" i="12"/>
  <c r="E37" i="12"/>
  <c r="D26" i="12"/>
  <c r="I26" i="12"/>
  <c r="I37" i="12"/>
  <c r="F26" i="12"/>
  <c r="F37" i="12"/>
  <c r="R51" i="13"/>
  <c r="H18" i="13"/>
  <c r="F18" i="13"/>
  <c r="K18" i="13"/>
  <c r="E18" i="13"/>
  <c r="G18" i="13"/>
  <c r="I18" i="13"/>
  <c r="J18" i="13"/>
  <c r="P41" i="10"/>
  <c r="P41" i="13"/>
  <c r="Q145" i="1"/>
  <c r="Q14" i="10"/>
  <c r="Q14" i="14"/>
  <c r="Q14" i="12"/>
  <c r="Q124" i="1"/>
  <c r="P125" i="1"/>
  <c r="P20" i="10"/>
  <c r="P18" i="10"/>
  <c r="P20" i="14"/>
  <c r="P18" i="14"/>
  <c r="P20" i="12"/>
  <c r="P18" i="12"/>
  <c r="G37" i="13"/>
  <c r="O21" i="12"/>
  <c r="O21" i="14"/>
  <c r="O21" i="10"/>
  <c r="I37" i="13"/>
  <c r="M23" i="13"/>
  <c r="M26" i="13"/>
  <c r="M37" i="13"/>
  <c r="Q41" i="13"/>
  <c r="Q41" i="14"/>
  <c r="O67" i="1"/>
  <c r="P67" i="1"/>
  <c r="M29" i="13"/>
  <c r="M32" i="13"/>
  <c r="M35" i="13"/>
  <c r="M18" i="13"/>
  <c r="Q41" i="12"/>
  <c r="Q41" i="10"/>
  <c r="R145" i="1"/>
  <c r="P21" i="10"/>
  <c r="P21" i="14"/>
  <c r="P21" i="12"/>
  <c r="Q20" i="14"/>
  <c r="Q18" i="14"/>
  <c r="Q20" i="12"/>
  <c r="Q18" i="12"/>
  <c r="Q20" i="10"/>
  <c r="Q18" i="10"/>
  <c r="Q125" i="1"/>
  <c r="R41" i="13"/>
  <c r="R41" i="14"/>
  <c r="R41" i="12"/>
  <c r="R41" i="10"/>
  <c r="Q21" i="10"/>
  <c r="Q21" i="12"/>
  <c r="Q21" i="14"/>
  <c r="Q67" i="1"/>
  <c r="R67" i="1"/>
  <c r="D102" i="1"/>
  <c r="D103" i="1"/>
  <c r="D35" i="14"/>
  <c r="D138" i="1"/>
  <c r="D139" i="1"/>
  <c r="D35" i="10"/>
  <c r="D34" i="10"/>
  <c r="D35" i="12"/>
  <c r="D34" i="12"/>
  <c r="D37" i="12"/>
  <c r="D34" i="13"/>
  <c r="D37" i="10"/>
  <c r="D35" i="13"/>
  <c r="D37" i="13"/>
  <c r="L100" i="1"/>
  <c r="L47" i="1"/>
  <c r="L104" i="1"/>
  <c r="L27" i="1"/>
  <c r="L48" i="1"/>
  <c r="L18" i="14"/>
  <c r="L49" i="1"/>
  <c r="R104" i="1"/>
  <c r="Q104" i="1"/>
  <c r="N104" i="1"/>
  <c r="P104" i="1"/>
  <c r="O104" i="1"/>
  <c r="O100" i="1"/>
  <c r="R100" i="1"/>
  <c r="N100" i="1"/>
  <c r="Q100" i="1"/>
  <c r="P100" i="1"/>
  <c r="L11" i="12"/>
  <c r="L35" i="1"/>
  <c r="L98" i="1"/>
  <c r="L99" i="1"/>
  <c r="L71" i="1"/>
  <c r="N71" i="1"/>
  <c r="L28" i="1"/>
  <c r="L17" i="12"/>
  <c r="M18" i="12"/>
  <c r="L102" i="1"/>
  <c r="M28" i="1"/>
  <c r="M12" i="14"/>
  <c r="L88" i="1"/>
  <c r="N88" i="1"/>
  <c r="L12" i="12"/>
  <c r="L12" i="14"/>
  <c r="L18" i="12"/>
  <c r="L11" i="13"/>
  <c r="L12" i="13"/>
  <c r="L35" i="10"/>
  <c r="L34" i="10"/>
  <c r="L103" i="1"/>
  <c r="L34" i="12"/>
  <c r="M12" i="12"/>
  <c r="L23" i="12"/>
  <c r="O88" i="1"/>
  <c r="R88" i="1"/>
  <c r="Q88" i="1"/>
  <c r="P88" i="1"/>
  <c r="M112" i="1"/>
  <c r="L139" i="1"/>
  <c r="L78" i="1"/>
  <c r="M36" i="1"/>
  <c r="L36" i="1"/>
  <c r="L136" i="1"/>
  <c r="L56" i="1"/>
  <c r="L112" i="1"/>
  <c r="L122" i="1"/>
  <c r="L51" i="1"/>
  <c r="L95" i="1"/>
  <c r="L115" i="1"/>
  <c r="L111" i="1"/>
  <c r="L133" i="1"/>
  <c r="O71" i="1"/>
  <c r="L35" i="12"/>
  <c r="L35" i="14"/>
  <c r="Q136" i="1"/>
  <c r="P136" i="1"/>
  <c r="O136" i="1"/>
  <c r="R136" i="1"/>
  <c r="N136" i="1"/>
  <c r="N139" i="1"/>
  <c r="R139" i="1"/>
  <c r="Q139" i="1"/>
  <c r="P139" i="1"/>
  <c r="O139" i="1"/>
  <c r="P111" i="1"/>
  <c r="O111" i="1"/>
  <c r="O110" i="1"/>
  <c r="N111" i="1"/>
  <c r="Q111" i="1"/>
  <c r="R111" i="1"/>
  <c r="L17" i="14"/>
  <c r="L53" i="1"/>
  <c r="L108" i="1"/>
  <c r="L52" i="1"/>
  <c r="P133" i="1"/>
  <c r="O133" i="1"/>
  <c r="N133" i="1"/>
  <c r="R133" i="1"/>
  <c r="Q133" i="1"/>
  <c r="L37" i="10"/>
  <c r="M12" i="13"/>
  <c r="L29" i="13"/>
  <c r="L32" i="13"/>
  <c r="P32" i="12"/>
  <c r="Q47" i="1"/>
  <c r="P31" i="12"/>
  <c r="N78" i="1"/>
  <c r="O78" i="1"/>
  <c r="O77" i="1"/>
  <c r="P78" i="1"/>
  <c r="P77" i="1"/>
  <c r="Q78" i="1"/>
  <c r="R78" i="1"/>
  <c r="P71" i="1"/>
  <c r="P43" i="1"/>
  <c r="P56" i="1"/>
  <c r="P36" i="1"/>
  <c r="L26" i="12"/>
  <c r="L37" i="12"/>
  <c r="P47" i="1"/>
  <c r="L116" i="1"/>
  <c r="M116" i="1"/>
  <c r="O31" i="12"/>
  <c r="P110" i="1"/>
  <c r="O138" i="1"/>
  <c r="O79" i="1"/>
  <c r="O132" i="1"/>
  <c r="L106" i="1"/>
  <c r="O108" i="1"/>
  <c r="O106" i="1"/>
  <c r="N108" i="1"/>
  <c r="P108" i="1"/>
  <c r="P106" i="1"/>
  <c r="Q108" i="1"/>
  <c r="R108" i="1"/>
  <c r="L23" i="14"/>
  <c r="L17" i="13"/>
  <c r="P138" i="1"/>
  <c r="P79" i="1"/>
  <c r="P132" i="1"/>
  <c r="P49" i="1"/>
  <c r="P48" i="1"/>
  <c r="Q49" i="1"/>
  <c r="Q48" i="1"/>
  <c r="P45" i="1"/>
  <c r="P44" i="1"/>
  <c r="O31" i="13"/>
  <c r="O65" i="1"/>
  <c r="O73" i="1"/>
  <c r="O28" i="14"/>
  <c r="O69" i="1"/>
  <c r="O28" i="12"/>
  <c r="P65" i="1"/>
  <c r="P73" i="1"/>
  <c r="P28" i="14"/>
  <c r="P69" i="1"/>
  <c r="P28" i="12"/>
  <c r="P98" i="1"/>
  <c r="P112" i="1"/>
  <c r="P102" i="1"/>
  <c r="Q31" i="12"/>
  <c r="Q32" i="12"/>
  <c r="P31" i="10"/>
  <c r="P31" i="13"/>
  <c r="P32" i="10"/>
  <c r="O98" i="1"/>
  <c r="O102" i="1"/>
  <c r="Q43" i="1"/>
  <c r="Q77" i="1"/>
  <c r="Q56" i="1"/>
  <c r="Q36" i="1"/>
  <c r="Q110" i="1"/>
  <c r="Q71" i="1"/>
  <c r="R47" i="1"/>
  <c r="O107" i="1"/>
  <c r="O34" i="14"/>
  <c r="P107" i="1"/>
  <c r="P34" i="14"/>
  <c r="L18" i="13"/>
  <c r="L26" i="14"/>
  <c r="L23" i="13"/>
  <c r="L26" i="13"/>
  <c r="Q106" i="1"/>
  <c r="Q107" i="1"/>
  <c r="Q138" i="1"/>
  <c r="Q79" i="1"/>
  <c r="Q132" i="1"/>
  <c r="L34" i="14"/>
  <c r="L34" i="13"/>
  <c r="L35" i="13"/>
  <c r="L107" i="1"/>
  <c r="P99" i="1"/>
  <c r="P35" i="10"/>
  <c r="O99" i="1"/>
  <c r="R49" i="1"/>
  <c r="R48" i="1"/>
  <c r="Q45" i="1"/>
  <c r="Q44" i="1"/>
  <c r="Q73" i="1"/>
  <c r="Q28" i="14"/>
  <c r="Q65" i="1"/>
  <c r="Q69" i="1"/>
  <c r="Q28" i="12"/>
  <c r="P75" i="1"/>
  <c r="P74" i="1"/>
  <c r="P66" i="1"/>
  <c r="P29" i="10"/>
  <c r="P28" i="10"/>
  <c r="O75" i="1"/>
  <c r="O66" i="1"/>
  <c r="O29" i="10"/>
  <c r="O28" i="10"/>
  <c r="Q32" i="10"/>
  <c r="Q31" i="10"/>
  <c r="Q31" i="13"/>
  <c r="O34" i="12"/>
  <c r="O103" i="1"/>
  <c r="O35" i="10"/>
  <c r="O34" i="10"/>
  <c r="R71" i="1"/>
  <c r="Q112" i="1"/>
  <c r="Q98" i="1"/>
  <c r="Q102" i="1"/>
  <c r="P103" i="1"/>
  <c r="P34" i="12"/>
  <c r="R43" i="1"/>
  <c r="R36" i="1"/>
  <c r="R110" i="1"/>
  <c r="R56" i="1"/>
  <c r="R77" i="1"/>
  <c r="R132" i="1"/>
  <c r="P34" i="10"/>
  <c r="Q34" i="14"/>
  <c r="L37" i="13"/>
  <c r="L37" i="14"/>
  <c r="R106" i="1"/>
  <c r="R107" i="1"/>
  <c r="R138" i="1"/>
  <c r="Q99" i="1"/>
  <c r="Q35" i="10"/>
  <c r="O35" i="12"/>
  <c r="O35" i="14"/>
  <c r="R45" i="1"/>
  <c r="R44" i="1"/>
  <c r="P35" i="12"/>
  <c r="P35" i="14"/>
  <c r="P34" i="13"/>
  <c r="O34" i="13"/>
  <c r="O28" i="13"/>
  <c r="P28" i="13"/>
  <c r="R73" i="1"/>
  <c r="R74" i="1"/>
  <c r="R69" i="1"/>
  <c r="R28" i="12"/>
  <c r="R65" i="1"/>
  <c r="Q66" i="1"/>
  <c r="Q29" i="10"/>
  <c r="Q28" i="10"/>
  <c r="Q28" i="13"/>
  <c r="Q75" i="1"/>
  <c r="Q74" i="1"/>
  <c r="R31" i="12"/>
  <c r="R32" i="12"/>
  <c r="R32" i="10"/>
  <c r="R31" i="10"/>
  <c r="R79" i="1"/>
  <c r="Q34" i="12"/>
  <c r="Q103" i="1"/>
  <c r="R98" i="1"/>
  <c r="R112" i="1"/>
  <c r="R102" i="1"/>
  <c r="Q34" i="10"/>
  <c r="R34" i="14"/>
  <c r="R99" i="1"/>
  <c r="R35" i="10"/>
  <c r="R31" i="13"/>
  <c r="Q35" i="12"/>
  <c r="Q35" i="14"/>
  <c r="R75" i="1"/>
  <c r="R28" i="14"/>
  <c r="Q34" i="13"/>
  <c r="R66" i="1"/>
  <c r="R29" i="10"/>
  <c r="R28" i="10"/>
  <c r="R34" i="10"/>
  <c r="R34" i="12"/>
  <c r="R103" i="1"/>
  <c r="R28" i="13"/>
  <c r="R35" i="12"/>
  <c r="R35" i="14"/>
  <c r="R34" i="13"/>
  <c r="N47" i="1"/>
  <c r="N49" i="1"/>
  <c r="N27" i="1"/>
  <c r="N48" i="1"/>
  <c r="N35" i="1"/>
  <c r="N28" i="1"/>
  <c r="O28" i="1"/>
  <c r="O36" i="1"/>
  <c r="N95" i="1"/>
  <c r="N36" i="1"/>
  <c r="O112" i="1"/>
  <c r="N56" i="1"/>
  <c r="N124" i="1"/>
  <c r="N77" i="1"/>
  <c r="N110" i="1"/>
  <c r="N32" i="10"/>
  <c r="N31" i="10"/>
  <c r="O32" i="10"/>
  <c r="N32" i="12"/>
  <c r="N31" i="12"/>
  <c r="O32" i="12"/>
  <c r="N122" i="1"/>
  <c r="N20" i="12"/>
  <c r="N18" i="12"/>
  <c r="N20" i="14"/>
  <c r="N18" i="14"/>
  <c r="N20" i="10"/>
  <c r="N18" i="10"/>
  <c r="N116" i="1"/>
  <c r="N115" i="1"/>
  <c r="N118" i="1"/>
  <c r="O118" i="1"/>
  <c r="N123" i="1"/>
  <c r="O122" i="1"/>
  <c r="N125" i="1"/>
  <c r="N98" i="1"/>
  <c r="N99" i="1"/>
  <c r="N35" i="10"/>
  <c r="N138" i="1"/>
  <c r="N79" i="1"/>
  <c r="N132" i="1"/>
  <c r="N102" i="1"/>
  <c r="N103" i="1"/>
  <c r="N31" i="13"/>
  <c r="N112" i="1"/>
  <c r="N106" i="1"/>
  <c r="N69" i="1"/>
  <c r="N28" i="12"/>
  <c r="N65" i="1"/>
  <c r="N73" i="1"/>
  <c r="N28" i="14"/>
  <c r="N121" i="1"/>
  <c r="N21" i="12"/>
  <c r="N21" i="14"/>
  <c r="N21" i="10"/>
  <c r="O14" i="14"/>
  <c r="O14" i="12"/>
  <c r="O14" i="10"/>
  <c r="O117" i="1"/>
  <c r="N14" i="14"/>
  <c r="N12" i="14"/>
  <c r="N11" i="14"/>
  <c r="N17" i="14"/>
  <c r="N23" i="14"/>
  <c r="N26" i="14"/>
  <c r="N14" i="12"/>
  <c r="N12" i="12"/>
  <c r="N11" i="12"/>
  <c r="N17" i="12"/>
  <c r="N23" i="12"/>
  <c r="N14" i="10"/>
  <c r="N12" i="10"/>
  <c r="N11" i="10"/>
  <c r="N19" i="14"/>
  <c r="N19" i="10"/>
  <c r="O123" i="1"/>
  <c r="N19" i="12"/>
  <c r="O119" i="1"/>
  <c r="O116" i="1"/>
  <c r="O115" i="1"/>
  <c r="O121" i="1"/>
  <c r="N34" i="10"/>
  <c r="N117" i="1"/>
  <c r="N119" i="1"/>
  <c r="P122" i="1"/>
  <c r="N34" i="12"/>
  <c r="N107" i="1"/>
  <c r="N34" i="14"/>
  <c r="N35" i="12"/>
  <c r="N35" i="14"/>
  <c r="N66" i="1"/>
  <c r="N29" i="10"/>
  <c r="N28" i="10"/>
  <c r="N74" i="1"/>
  <c r="N75" i="1"/>
  <c r="O74" i="1"/>
  <c r="N127" i="1"/>
  <c r="N26" i="12"/>
  <c r="N17" i="10"/>
  <c r="N11" i="13"/>
  <c r="N32" i="13"/>
  <c r="N15" i="14"/>
  <c r="N15" i="12"/>
  <c r="N15" i="10"/>
  <c r="O13" i="10"/>
  <c r="O13" i="14"/>
  <c r="O13" i="12"/>
  <c r="N13" i="10"/>
  <c r="N13" i="14"/>
  <c r="N13" i="12"/>
  <c r="P123" i="1"/>
  <c r="O19" i="14"/>
  <c r="O19" i="10"/>
  <c r="O19" i="12"/>
  <c r="O15" i="12"/>
  <c r="O12" i="12"/>
  <c r="O11" i="12"/>
  <c r="O15" i="10"/>
  <c r="O12" i="10"/>
  <c r="O15" i="14"/>
  <c r="O12" i="14"/>
  <c r="O11" i="14"/>
  <c r="N34" i="13"/>
  <c r="P117" i="1"/>
  <c r="P119" i="1"/>
  <c r="P116" i="1"/>
  <c r="P115" i="1"/>
  <c r="P121" i="1"/>
  <c r="N37" i="12"/>
  <c r="N38" i="12"/>
  <c r="Q122" i="1"/>
  <c r="N37" i="14"/>
  <c r="N38" i="14"/>
  <c r="N28" i="13"/>
  <c r="N130" i="1"/>
  <c r="N141" i="1"/>
  <c r="N142" i="1"/>
  <c r="O127" i="1"/>
  <c r="O130" i="1"/>
  <c r="O141" i="1"/>
  <c r="O142" i="1"/>
  <c r="N35" i="13"/>
  <c r="N29" i="13"/>
  <c r="P13" i="12"/>
  <c r="P13" i="10"/>
  <c r="P13" i="14"/>
  <c r="Q123" i="1"/>
  <c r="P19" i="12"/>
  <c r="P19" i="14"/>
  <c r="P19" i="10"/>
  <c r="N23" i="10"/>
  <c r="N23" i="13"/>
  <c r="N17" i="13"/>
  <c r="O17" i="14"/>
  <c r="O23" i="14"/>
  <c r="O26" i="14"/>
  <c r="O37" i="14"/>
  <c r="O38" i="14"/>
  <c r="O17" i="12"/>
  <c r="P15" i="12"/>
  <c r="P12" i="12"/>
  <c r="P11" i="12"/>
  <c r="P15" i="10"/>
  <c r="P12" i="10"/>
  <c r="P15" i="14"/>
  <c r="P12" i="14"/>
  <c r="P11" i="14"/>
  <c r="Q119" i="1"/>
  <c r="Q116" i="1"/>
  <c r="Q115" i="1"/>
  <c r="Q121" i="1"/>
  <c r="Q117" i="1"/>
  <c r="P127" i="1"/>
  <c r="P130" i="1"/>
  <c r="P141" i="1"/>
  <c r="P142" i="1"/>
  <c r="N26" i="13"/>
  <c r="N37" i="13"/>
  <c r="N38" i="13"/>
  <c r="N26" i="10"/>
  <c r="N37" i="10"/>
  <c r="N38" i="10"/>
  <c r="R123" i="1"/>
  <c r="Q19" i="12"/>
  <c r="Q19" i="14"/>
  <c r="Q19" i="10"/>
  <c r="Q13" i="14"/>
  <c r="Q13" i="12"/>
  <c r="Q13" i="10"/>
  <c r="P17" i="14"/>
  <c r="P23" i="14"/>
  <c r="P26" i="14"/>
  <c r="P37" i="14"/>
  <c r="P38" i="14"/>
  <c r="P17" i="12"/>
  <c r="O23" i="12"/>
  <c r="O26" i="12"/>
  <c r="O37" i="12"/>
  <c r="O38" i="12"/>
  <c r="Q15" i="12"/>
  <c r="Q12" i="12"/>
  <c r="Q11" i="12"/>
  <c r="Q15" i="10"/>
  <c r="Q12" i="10"/>
  <c r="Q15" i="14"/>
  <c r="Q12" i="14"/>
  <c r="Q11" i="14"/>
  <c r="R122" i="1"/>
  <c r="R119" i="1"/>
  <c r="R116" i="1"/>
  <c r="R115" i="1"/>
  <c r="R117" i="1"/>
  <c r="Q127" i="1"/>
  <c r="Q130" i="1"/>
  <c r="Q141" i="1"/>
  <c r="Q142" i="1"/>
  <c r="R13" i="14"/>
  <c r="R13" i="12"/>
  <c r="R13" i="10"/>
  <c r="R19" i="12"/>
  <c r="R19" i="14"/>
  <c r="R19" i="10"/>
  <c r="Q17" i="14"/>
  <c r="Q23" i="14"/>
  <c r="Q26" i="14"/>
  <c r="Q37" i="14"/>
  <c r="Q38" i="14"/>
  <c r="Q17" i="12"/>
  <c r="P23" i="12"/>
  <c r="P26" i="12"/>
  <c r="P37" i="12"/>
  <c r="P38" i="12"/>
  <c r="R121" i="1"/>
  <c r="R127" i="1"/>
  <c r="R130" i="1"/>
  <c r="R15" i="12"/>
  <c r="R12" i="12"/>
  <c r="R11" i="12"/>
  <c r="R17" i="12"/>
  <c r="R15" i="10"/>
  <c r="R12" i="10"/>
  <c r="R15" i="14"/>
  <c r="R12" i="14"/>
  <c r="R11" i="14"/>
  <c r="R17" i="14"/>
  <c r="R23" i="12"/>
  <c r="R26" i="12"/>
  <c r="R37" i="12"/>
  <c r="R23" i="14"/>
  <c r="R26" i="14"/>
  <c r="R37" i="14"/>
  <c r="Q23" i="12"/>
  <c r="Q26" i="12"/>
  <c r="Q37" i="12"/>
  <c r="Q38" i="12"/>
  <c r="R141" i="1"/>
  <c r="R142" i="1"/>
  <c r="R38" i="14"/>
  <c r="R43" i="14"/>
  <c r="R44" i="14"/>
  <c r="R38" i="12"/>
  <c r="R43" i="12"/>
  <c r="R44" i="12"/>
  <c r="R147" i="1"/>
  <c r="R148" i="1"/>
  <c r="R46" i="12"/>
  <c r="R46" i="14"/>
  <c r="R149" i="1"/>
  <c r="R152" i="1"/>
  <c r="R155" i="1"/>
  <c r="I5" i="1"/>
  <c r="I6" i="1"/>
  <c r="O11" i="10"/>
  <c r="O11" i="13"/>
  <c r="C159" i="1"/>
  <c r="U28" i="5"/>
  <c r="Y28" i="5"/>
  <c r="T28" i="5"/>
  <c r="X28" i="5"/>
  <c r="O35" i="13"/>
  <c r="O29" i="13"/>
  <c r="O32" i="13"/>
  <c r="P11" i="10"/>
  <c r="Q11" i="10"/>
  <c r="P11" i="13"/>
  <c r="P17" i="10"/>
  <c r="P35" i="13"/>
  <c r="P32" i="13"/>
  <c r="P29" i="13"/>
  <c r="P23" i="10"/>
  <c r="P23" i="13"/>
  <c r="P17" i="13"/>
  <c r="Q11" i="13"/>
  <c r="R11" i="10"/>
  <c r="P26" i="13"/>
  <c r="P37" i="13"/>
  <c r="P38" i="13"/>
  <c r="Q32" i="13"/>
  <c r="Q29" i="13"/>
  <c r="Q35" i="13"/>
  <c r="R11" i="13"/>
  <c r="P26" i="10"/>
  <c r="P37" i="10"/>
  <c r="P38" i="10"/>
  <c r="R29" i="13"/>
  <c r="R32" i="13"/>
  <c r="R35" i="13"/>
  <c r="O17" i="10"/>
  <c r="O23" i="10"/>
  <c r="R17" i="10"/>
  <c r="R17" i="13"/>
  <c r="Q17" i="10"/>
  <c r="Q17" i="13"/>
  <c r="Q23" i="10"/>
  <c r="Q23" i="13"/>
  <c r="Q26" i="13"/>
  <c r="Q37" i="13"/>
  <c r="Q38" i="13"/>
  <c r="O23" i="13"/>
  <c r="O26" i="10"/>
  <c r="O37" i="10"/>
  <c r="O38" i="10"/>
  <c r="O17" i="13"/>
  <c r="R23" i="10"/>
  <c r="O26" i="13"/>
  <c r="O37" i="13"/>
  <c r="O38" i="13"/>
  <c r="R23" i="13"/>
  <c r="R26" i="13"/>
  <c r="Q26" i="10"/>
  <c r="Q37" i="10"/>
  <c r="Q38" i="10"/>
  <c r="R26" i="10"/>
  <c r="R37" i="10"/>
  <c r="R38" i="10"/>
  <c r="R37" i="13"/>
  <c r="R43" i="10"/>
  <c r="R44" i="10"/>
  <c r="R43" i="13"/>
  <c r="R44" i="13"/>
  <c r="R38" i="13"/>
  <c r="R46" i="10"/>
  <c r="R46" i="13"/>
  <c r="R49" i="13"/>
  <c r="R52" i="13"/>
</calcChain>
</file>

<file path=xl/sharedStrings.xml><?xml version="1.0" encoding="utf-8"?>
<sst xmlns="http://schemas.openxmlformats.org/spreadsheetml/2006/main" count="785" uniqueCount="379">
  <si>
    <t>Assumptions</t>
  </si>
  <si>
    <t>DCF</t>
  </si>
  <si>
    <t>Switches</t>
  </si>
  <si>
    <t>Revenue</t>
  </si>
  <si>
    <t>EBIT</t>
  </si>
  <si>
    <t>WACC</t>
  </si>
  <si>
    <t>TGR</t>
  </si>
  <si>
    <t>TCG</t>
  </si>
  <si>
    <t>Conservative</t>
  </si>
  <si>
    <t>Base</t>
  </si>
  <si>
    <t>Optimistic</t>
  </si>
  <si>
    <t>x</t>
  </si>
  <si>
    <t>% growth</t>
  </si>
  <si>
    <t>% of sales</t>
  </si>
  <si>
    <t>Taxes</t>
  </si>
  <si>
    <t>Source: FactSet Fundamentals</t>
  </si>
  <si>
    <t>LTM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</si>
  <si>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</si>
  <si>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</si>
  <si>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</si>
  <si>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</si>
  <si>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</si>
  <si>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</si>
  <si>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</si>
  <si>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</si>
  <si>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Other SG&amp;A</t>
  </si>
  <si>
    <t>EBIT (Operating Income)</t>
  </si>
  <si>
    <t>Nonoperating Income - Net</t>
  </si>
  <si>
    <t>Other Income (Expense)</t>
  </si>
  <si>
    <t>Unusual Expense - Net</t>
  </si>
  <si>
    <t>Impairments</t>
  </si>
  <si>
    <t>Goodwill</t>
  </si>
  <si>
    <t>Other Intangibles</t>
  </si>
  <si>
    <t>Restructuring Expense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</si>
  <si>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</si>
  <si>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</si>
  <si>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</si>
  <si>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</si>
  <si>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</si>
  <si>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</si>
  <si>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</si>
  <si>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Minority Interest</t>
  </si>
  <si>
    <t>Net Income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</si>
  <si>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</si>
  <si>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</si>
  <si>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</si>
  <si>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</si>
  <si>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</si>
  <si>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</si>
  <si>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</si>
  <si>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</si>
  <si>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</si>
  <si>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EBITDA</t>
  </si>
  <si>
    <t>All figures in millions of U.S. Dollar except per share items.</t>
  </si>
  <si>
    <t>2025E</t>
  </si>
  <si>
    <t>2026E</t>
  </si>
  <si>
    <t>2027E</t>
  </si>
  <si>
    <t>2028E</t>
  </si>
  <si>
    <t>2029E</t>
  </si>
  <si>
    <t>D&amp;A</t>
  </si>
  <si>
    <t>CapEx</t>
  </si>
  <si>
    <t>Change in NWC</t>
  </si>
  <si>
    <t>% of change in sales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</si>
  <si>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</si>
  <si>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</si>
  <si>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</si>
  <si>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</si>
  <si>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</si>
  <si>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</si>
  <si>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</si>
  <si>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</si>
  <si>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</si>
  <si>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</si>
  <si>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</si>
  <si>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Inventories</t>
  </si>
  <si>
    <t>Accounts Payable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</si>
  <si>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</si>
  <si>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</si>
  <si>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</si>
  <si>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</si>
  <si>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</si>
  <si>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Net Assets from Acquisitions</t>
  </si>
  <si>
    <t>Purchase/Sale of Investments</t>
  </si>
  <si>
    <t>Purchase of Investments</t>
  </si>
  <si>
    <t>Other Uses</t>
  </si>
  <si>
    <t>Other Sources</t>
  </si>
  <si>
    <t>Net Investing Cash Flow</t>
  </si>
  <si>
    <t>Financing Activities</t>
  </si>
  <si>
    <t>Change in Capital Stock</t>
  </si>
  <si>
    <t>Repurchase of Common &amp; Preferred Stk.</t>
  </si>
  <si>
    <t>Sale of Common &amp; Preferred Stock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</si>
  <si>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</si>
  <si>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</si>
  <si>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</si>
  <si>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</si>
  <si>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</si>
  <si>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</si>
  <si>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</si>
  <si>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--</t>
  </si>
  <si>
    <t>Estimates</t>
  </si>
  <si>
    <t>Income Statement (M)</t>
  </si>
  <si>
    <t>Guidance (Low)</t>
  </si>
  <si>
    <t>-</t>
  </si>
  <si>
    <t>Guidance (High)</t>
  </si>
  <si>
    <t>Cost of Sales</t>
  </si>
  <si>
    <t>Operating Income</t>
  </si>
  <si>
    <t>Tax Expense</t>
  </si>
  <si>
    <t>Cash Flow (M)</t>
  </si>
  <si>
    <t>Cash Flow from Operations</t>
  </si>
  <si>
    <t>Cash Flow from Investing</t>
  </si>
  <si>
    <t>Cash Flow from Financing</t>
  </si>
  <si>
    <t>% of EBIT</t>
  </si>
  <si>
    <t>Optimisitic</t>
  </si>
  <si>
    <t>Unlevered FCF</t>
  </si>
  <si>
    <t>PV FCF</t>
  </si>
  <si>
    <t>Market Cap</t>
  </si>
  <si>
    <t>% of Equity</t>
  </si>
  <si>
    <t>Cost of Equity</t>
  </si>
  <si>
    <t>Risk Free Rate</t>
  </si>
  <si>
    <t>Beta</t>
  </si>
  <si>
    <t xml:space="preserve">Market Risk Premium </t>
  </si>
  <si>
    <t>Debt</t>
  </si>
  <si>
    <t>% of Debt</t>
  </si>
  <si>
    <t>Cost of Debt</t>
  </si>
  <si>
    <t>Tax Rate</t>
  </si>
  <si>
    <t xml:space="preserve">Total </t>
  </si>
  <si>
    <t>in millions</t>
  </si>
  <si>
    <t>(% of Equity * cost of equity) + (% of debt * cost of debt) * (1 - Tax)</t>
  </si>
  <si>
    <t>Cost of Equity = Risk Free Rate + (Beta * Market Risk Premium)</t>
  </si>
  <si>
    <t xml:space="preserve">Beta </t>
  </si>
  <si>
    <t>Use from source</t>
  </si>
  <si>
    <t>Market Risk Premium</t>
  </si>
  <si>
    <t xml:space="preserve">damodaran Online </t>
  </si>
  <si>
    <t xml:space="preserve">Use 10 Year Treasury </t>
  </si>
  <si>
    <t>Period</t>
  </si>
  <si>
    <t>Discount Period</t>
  </si>
  <si>
    <t>Ticker</t>
  </si>
  <si>
    <t>Date</t>
  </si>
  <si>
    <t>Year End</t>
  </si>
  <si>
    <t>Terminal Value</t>
  </si>
  <si>
    <t>PV TV</t>
  </si>
  <si>
    <t>Enterprise Value</t>
  </si>
  <si>
    <t>(+) Cash</t>
  </si>
  <si>
    <t>(-) Debt</t>
  </si>
  <si>
    <t>Equity Value</t>
  </si>
  <si>
    <t>Diluted Shares</t>
  </si>
  <si>
    <t>Implied Stock Price</t>
  </si>
  <si>
    <t>Assets</t>
  </si>
  <si>
    <t>Cash &amp; Short-Term Investments</t>
  </si>
  <si>
    <t>Cash Only</t>
  </si>
  <si>
    <t>Short-Term Receivables</t>
  </si>
  <si>
    <t>Accounts Receivables, Net</t>
  </si>
  <si>
    <t>Accounts Receivables, Gross</t>
  </si>
  <si>
    <t>Other Receivables</t>
  </si>
  <si>
    <t>Finished Goods</t>
  </si>
  <si>
    <t>Other Current Assets</t>
  </si>
  <si>
    <t>Prepaid Expenses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</si>
  <si>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</si>
  <si>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</si>
  <si>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</si>
  <si>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</si>
  <si>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</si>
  <si>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</si>
  <si>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Construction in Progress</t>
  </si>
  <si>
    <t>Other Property, Plant &amp; Equipment</t>
  </si>
  <si>
    <t>Operating Lease Right-of-Use Assets</t>
  </si>
  <si>
    <t>Accumulated Depreciation</t>
  </si>
  <si>
    <t>Intangible Assets</t>
  </si>
  <si>
    <t>Other Intangible Assets</t>
  </si>
  <si>
    <t>Other Assets</t>
  </si>
  <si>
    <t>Deferred Charges</t>
  </si>
  <si>
    <t>Tangible Other Assets</t>
  </si>
  <si>
    <t>Total Assets</t>
  </si>
  <si>
    <t>Liabilities &amp; Shareholders' Equity</t>
  </si>
  <si>
    <t>Current</t>
  </si>
  <si>
    <t>ST Debt &amp; Curr. Portion LT Debt</t>
  </si>
  <si>
    <t>Income Tax Payable</t>
  </si>
  <si>
    <t>Other Current Liabilities</t>
  </si>
  <si>
    <t>Accrued Payroll</t>
  </si>
  <si>
    <t>Miscellaneous Current Liabilities</t>
  </si>
  <si>
    <t>Total Current Liabilities</t>
  </si>
  <si>
    <t>Long-Term</t>
  </si>
  <si>
    <t>Long-Term Debt</t>
  </si>
  <si>
    <t>Capital and Operating Lease Obligations</t>
  </si>
  <si>
    <t>Deferred Tax Liabilities</t>
  </si>
  <si>
    <t>Other Liabilities</t>
  </si>
  <si>
    <t>Other Liabilities (excl. Deferred Income)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</si>
  <si>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</si>
  <si>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</si>
  <si>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</si>
  <si>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</si>
  <si>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</si>
  <si>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</si>
  <si>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</si>
  <si>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Other Appropriated Reserves</t>
  </si>
  <si>
    <t>Total Shareholders' Equity</t>
  </si>
  <si>
    <t>Total Equity</t>
  </si>
  <si>
    <t>Total Liabilities &amp; Shareholders' Equity</t>
  </si>
  <si>
    <t>Book Value per Share</t>
  </si>
  <si>
    <t>Tangible Book Value per Share</t>
  </si>
  <si>
    <t>Current Price</t>
  </si>
  <si>
    <t>Implied Share Price</t>
  </si>
  <si>
    <t>Gain (Loss)</t>
  </si>
  <si>
    <t>Green</t>
  </si>
  <si>
    <t>Red</t>
  </si>
  <si>
    <t xml:space="preserve">Purple </t>
  </si>
  <si>
    <t>Repeat from cell</t>
  </si>
  <si>
    <t>Reference other sheet</t>
  </si>
  <si>
    <t xml:space="preserve">Reference estimations </t>
  </si>
  <si>
    <t>Comp Table</t>
  </si>
  <si>
    <t>Currency</t>
  </si>
  <si>
    <t>USD</t>
  </si>
  <si>
    <t>Company Name</t>
  </si>
  <si>
    <t>Price</t>
  </si>
  <si>
    <t>Share</t>
  </si>
  <si>
    <t>Count</t>
  </si>
  <si>
    <t>Enterprise</t>
  </si>
  <si>
    <t>Value</t>
  </si>
  <si>
    <t>Market</t>
  </si>
  <si>
    <t>Cap</t>
  </si>
  <si>
    <t>Mean</t>
  </si>
  <si>
    <t>Median</t>
  </si>
  <si>
    <t>Calculating Implied Share Price</t>
  </si>
  <si>
    <t>Minimum</t>
  </si>
  <si>
    <t xml:space="preserve">Mean </t>
  </si>
  <si>
    <t>Maximum</t>
  </si>
  <si>
    <t>Database</t>
  </si>
  <si>
    <t>Revenue Growth</t>
  </si>
  <si>
    <t>EBITDA Margin</t>
  </si>
  <si>
    <t>22-23</t>
  </si>
  <si>
    <t>23-24</t>
  </si>
  <si>
    <t>Profit Margin</t>
  </si>
  <si>
    <t>Trading Mulitples</t>
  </si>
  <si>
    <t>EV / Revenue</t>
  </si>
  <si>
    <t>EV / EBITDA</t>
  </si>
  <si>
    <t>P / E</t>
  </si>
  <si>
    <t>P/E</t>
  </si>
  <si>
    <t>EPS</t>
  </si>
  <si>
    <t>2024 Trading Multiple</t>
  </si>
  <si>
    <t>2024 Financial Metric</t>
  </si>
  <si>
    <t>Shares</t>
  </si>
  <si>
    <t xml:space="preserve">Implied Share Price </t>
  </si>
  <si>
    <t>Cash</t>
  </si>
  <si>
    <t>Growth Rate</t>
  </si>
  <si>
    <t>Sensitivity Table</t>
  </si>
  <si>
    <t>Total</t>
  </si>
  <si>
    <t>% of CapEx</t>
  </si>
  <si>
    <t>EBIAT</t>
  </si>
  <si>
    <t xml:space="preserve">Diluted Share Count Calculation </t>
  </si>
  <si>
    <t>Full Diluted Shares</t>
  </si>
  <si>
    <t>Basic shares outstanding (latest filing)</t>
  </si>
  <si>
    <t>In the money exercisable options</t>
  </si>
  <si>
    <t>Total proceeds ($mm)</t>
  </si>
  <si>
    <t>Total shares repurchased (mm)</t>
  </si>
  <si>
    <t>Net dilutive options</t>
  </si>
  <si>
    <t>Dilutive impact of shares from other securities</t>
  </si>
  <si>
    <t>Options outstanding</t>
  </si>
  <si>
    <t>Net diluted shares outstanding</t>
  </si>
  <si>
    <t>Tranche 1</t>
  </si>
  <si>
    <t>Tranche 2</t>
  </si>
  <si>
    <t>Tranche 3</t>
  </si>
  <si>
    <t>Tranche 4</t>
  </si>
  <si>
    <t>Tranche 5</t>
  </si>
  <si>
    <t>Tranche 6</t>
  </si>
  <si>
    <t>Tranche 7</t>
  </si>
  <si>
    <t>Tranche 8</t>
  </si>
  <si>
    <t>Tranche 9</t>
  </si>
  <si>
    <t>Tranche 10</t>
  </si>
  <si>
    <t>Outstanding</t>
  </si>
  <si>
    <t>Exercise Price</t>
  </si>
  <si>
    <t>Diliutive Shares</t>
  </si>
  <si>
    <t>Current Stock Price</t>
  </si>
  <si>
    <t>% of total sales</t>
  </si>
  <si>
    <t>Revenue (12/31 CYE)</t>
  </si>
  <si>
    <t>EBIT (12/31 CYE)</t>
  </si>
  <si>
    <t>Taxes(12/31 CYE)</t>
  </si>
  <si>
    <t>Total D&amp;A</t>
  </si>
  <si>
    <t>Total CapEx</t>
  </si>
  <si>
    <t>Total Change in NWC</t>
  </si>
  <si>
    <t xml:space="preserve">Net Working Capital </t>
  </si>
  <si>
    <t>% tax rate</t>
  </si>
  <si>
    <t>Consolidated DCF</t>
  </si>
  <si>
    <t>% taxes</t>
  </si>
  <si>
    <t>lululemon athletica inc. (LULU)</t>
  </si>
  <si>
    <t>$226.11</t>
  </si>
  <si>
    <t>lululemon athletica inc.</t>
  </si>
  <si>
    <t xml:space="preserve">LULU   550021109   B23FN39   NASDAQ    Common stock    </t>
  </si>
  <si>
    <t>JAN '16</t>
  </si>
  <si>
    <t>JAN '17</t>
  </si>
  <si>
    <t>JAN '18</t>
  </si>
  <si>
    <t>JAN '19</t>
  </si>
  <si>
    <t>JAN '20</t>
  </si>
  <si>
    <t>JAN '21</t>
  </si>
  <si>
    <t>JAN '22</t>
  </si>
  <si>
    <t>JAN '23</t>
  </si>
  <si>
    <t>JAN '24</t>
  </si>
  <si>
    <t>JAN '25</t>
  </si>
  <si>
    <t>APR '25</t>
  </si>
  <si>
    <t>Property,Plant &amp; Equipment</t>
  </si>
  <si>
    <t>Unrealized Valuation Gain/Loss</t>
  </si>
  <si>
    <t>Hedges/Derivatives</t>
  </si>
  <si>
    <t>Excpl Chrgs - Others</t>
  </si>
  <si>
    <t>Other Unusual Expense</t>
  </si>
  <si>
    <t>LULU-US</t>
  </si>
  <si>
    <t>Jan '21</t>
  </si>
  <si>
    <t>Jan '22</t>
  </si>
  <si>
    <t>Jan '23</t>
  </si>
  <si>
    <t>Jan '24</t>
  </si>
  <si>
    <t>Jan '25</t>
  </si>
  <si>
    <t>Jan '26E</t>
  </si>
  <si>
    <t>Jan '27E</t>
  </si>
  <si>
    <t>Jan '28E</t>
  </si>
  <si>
    <t>Jan '29E</t>
  </si>
  <si>
    <t>Jan '30E</t>
  </si>
  <si>
    <t>Balance Sheet (M)</t>
  </si>
  <si>
    <t>Current Assets</t>
  </si>
  <si>
    <t>Current Liabilities</t>
  </si>
  <si>
    <t>Short-Term Debt</t>
  </si>
  <si>
    <t>Total Debt</t>
  </si>
  <si>
    <t>Total Goodwill</t>
  </si>
  <si>
    <t>Net Debt</t>
  </si>
  <si>
    <t>Working Capital</t>
  </si>
  <si>
    <t>Shareholder Equity</t>
  </si>
  <si>
    <t>Unlevered Free Cash Flow</t>
  </si>
  <si>
    <t>Total Short Term Investments</t>
  </si>
  <si>
    <t>Progress Payments &amp; Other</t>
  </si>
  <si>
    <t>Computer Software and Equipment</t>
  </si>
  <si>
    <t>Transportation Equipment</t>
  </si>
  <si>
    <t>Deferred Tax Assets</t>
  </si>
  <si>
    <t>Income Taxes Payable</t>
  </si>
  <si>
    <t>Other Accruals</t>
  </si>
  <si>
    <t>Proceeds from Stock Options</t>
  </si>
  <si>
    <t>Company-operating stores</t>
  </si>
  <si>
    <t>Direct to Consumer</t>
  </si>
  <si>
    <t>Other</t>
  </si>
  <si>
    <t>% of total Company-operating stores</t>
  </si>
  <si>
    <t>% of total Direct to Consumer</t>
  </si>
  <si>
    <t>% of total Other</t>
  </si>
  <si>
    <t>Lululemon DCF</t>
  </si>
  <si>
    <t>.</t>
  </si>
  <si>
    <t>% of total EBIT</t>
  </si>
  <si>
    <t>% of total D&amp;A</t>
  </si>
  <si>
    <t>% of total CapEx</t>
  </si>
  <si>
    <t>% of Company-operating stores</t>
  </si>
  <si>
    <t>% of Direct to Consumer</t>
  </si>
  <si>
    <t>% of Other</t>
  </si>
  <si>
    <t>Revenue 27</t>
  </si>
  <si>
    <t>Revenue 29</t>
  </si>
  <si>
    <t>EBIT 29</t>
  </si>
  <si>
    <t>Revenue 26-29</t>
  </si>
  <si>
    <t>EBIT 26-29</t>
  </si>
  <si>
    <t xml:space="preserve">Lululemon </t>
  </si>
  <si>
    <t xml:space="preserve">Columbia Sportswear </t>
  </si>
  <si>
    <t>Under Armour</t>
  </si>
  <si>
    <t xml:space="preserve">Artizia </t>
  </si>
  <si>
    <t>Nike</t>
  </si>
  <si>
    <t>Adidas</t>
  </si>
  <si>
    <t>Ralph Lauren Corporation</t>
  </si>
  <si>
    <t>Dick's Sporting Goods</t>
  </si>
  <si>
    <t>LULU</t>
  </si>
  <si>
    <t>COLM</t>
  </si>
  <si>
    <t>UAA</t>
  </si>
  <si>
    <t>ATZAF</t>
  </si>
  <si>
    <t>NIKE</t>
  </si>
  <si>
    <t>RL</t>
  </si>
  <si>
    <t>ADDDF</t>
  </si>
  <si>
    <t>DKS</t>
  </si>
  <si>
    <t>Company-operated stores DCF</t>
  </si>
  <si>
    <t>Other DCF</t>
  </si>
  <si>
    <t>Direct to Consumer DCF</t>
  </si>
  <si>
    <t xml:space="preserve">Allen Li </t>
  </si>
  <si>
    <t xml:space="preserve">Gap </t>
  </si>
  <si>
    <t>GAP</t>
  </si>
  <si>
    <t>Black</t>
  </si>
  <si>
    <t>Calculations</t>
  </si>
  <si>
    <t>SL Revenue</t>
  </si>
  <si>
    <t>SL EBIT</t>
  </si>
  <si>
    <t>Decay Factor</t>
  </si>
  <si>
    <t>As of 8/27/2025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</si>
</sst>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#,##0.0"/>
    <numFmt numFmtId="165" formatCode="0.0%"/>
    <numFmt numFmtId="166" formatCode="&quot;$&quot;#,##0.00"/>
    <numFmt numFmtId="167" formatCode="0%;\(0%\)"/>
    <numFmt numFmtId="168" formatCode="#,##0.00&quot;x&quot;"/>
    <numFmt numFmtId="169" formatCode="0.000000000000000%"/>
    <numFmt numFmtId="170" formatCode="0_);[Red]\(0\)"/>
  </numFmts>
  <fonts count="29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0"/>
      <name val="Calibri"/>
      <family val="2"/>
    </font>
    <font>
      <b/>
      <u/>
      <sz val="12"/>
      <color theme="1"/>
      <name val="Calibri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sz val="10"/>
      <color rgb="FF646464"/>
      <name val="Arial"/>
      <family val="2"/>
    </font>
    <font>
      <sz val="12"/>
      <color theme="9"/>
      <name val="Calibri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theme="8"/>
      <name val="Calibri"/>
      <family val="2"/>
    </font>
    <font>
      <b/>
      <sz val="12"/>
      <color theme="0"/>
      <name val="Calibri"/>
      <family val="2"/>
    </font>
    <font>
      <b/>
      <sz val="12"/>
      <color theme="9"/>
      <name val="Calibri"/>
      <family val="2"/>
    </font>
    <font>
      <b/>
      <sz val="12"/>
      <color rgb="FFFF0000"/>
      <name val="Calibri"/>
      <family val="2"/>
    </font>
    <font>
      <b/>
      <sz val="12"/>
      <color theme="8"/>
      <name val="Calibri"/>
      <family val="2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sz val="12"/>
      <color theme="3" tint="0.499984740745262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24"/>
      <color theme="1"/>
      <name val="Calibri"/>
      <family val="2"/>
    </font>
    <font>
      <sz val="8"/>
      <name val="Times New Roman"/>
      <family val="2"/>
    </font>
    <font>
      <i/>
      <sz val="12"/>
      <color rgb="FFFF0000"/>
      <name val="Calibri"/>
      <family val="2"/>
    </font>
    <font>
      <sz val="16"/>
      <color theme="1"/>
      <name val="Calibri"/>
      <family val="2"/>
    </font>
    <font>
      <i/>
      <sz val="12"/>
      <color theme="9"/>
      <name val="Calibri"/>
      <family val="2"/>
    </font>
    <font>
      <i/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1" xfId="0" applyFont="1" applyBorder="1"/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5" fillId="0" borderId="0" xfId="0" applyFont="1"/>
    <xf numFmtId="0" fontId="3" fillId="3" borderId="2" xfId="0" applyFont="1" applyFill="1" applyBorder="1"/>
    <xf numFmtId="0" fontId="4" fillId="0" borderId="0" xfId="0" applyFont="1"/>
    <xf numFmtId="0" fontId="6" fillId="0" borderId="0" xfId="0" applyFont="1"/>
    <xf numFmtId="0" fontId="0" fillId="0" borderId="3" xfId="0" applyBorder="1"/>
    <xf numFmtId="0" fontId="0" fillId="0" borderId="4" xfId="0" applyBorder="1"/>
    <xf numFmtId="0" fontId="6" fillId="4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  <xf numFmtId="0" fontId="7" fillId="5" borderId="0" xfId="0" applyFont="1" applyFill="1" applyAlignment="1">
      <alignment horizontal="left" indent="3"/>
    </xf>
    <xf numFmtId="3" fontId="7" fillId="5" borderId="0" xfId="0" applyNumberFormat="1" applyFont="1" applyFill="1" applyAlignment="1">
      <alignment horizontal="right"/>
    </xf>
    <xf numFmtId="0" fontId="0" fillId="0" borderId="0" xfId="0" applyAlignment="1">
      <alignment horizontal="left" indent="4"/>
    </xf>
    <xf numFmtId="3" fontId="0" fillId="0" borderId="0" xfId="0" applyNumberFormat="1" applyAlignment="1">
      <alignment horizontal="right"/>
    </xf>
    <xf numFmtId="0" fontId="7" fillId="5" borderId="0" xfId="0" applyFont="1" applyFill="1" applyAlignment="1">
      <alignment horizontal="left" indent="6"/>
    </xf>
    <xf numFmtId="0" fontId="0" fillId="0" borderId="0" xfId="0" applyAlignment="1">
      <alignment horizontal="left" indent="7"/>
    </xf>
    <xf numFmtId="0" fontId="0" fillId="5" borderId="0" xfId="0" applyFill="1" applyAlignment="1">
      <alignment horizontal="left" indent="7"/>
    </xf>
    <xf numFmtId="3" fontId="0" fillId="5" borderId="0" xfId="0" applyNumberFormat="1" applyFill="1" applyAlignment="1">
      <alignment horizontal="right"/>
    </xf>
    <xf numFmtId="0" fontId="0" fillId="0" borderId="0" xfId="0" applyAlignment="1">
      <alignment horizontal="left"/>
    </xf>
    <xf numFmtId="0" fontId="0" fillId="5" borderId="0" xfId="0" applyFill="1" applyAlignment="1">
      <alignment horizontal="left" indent="4"/>
    </xf>
    <xf numFmtId="3" fontId="8" fillId="5" borderId="0" xfId="0" applyNumberFormat="1" applyFont="1" applyFill="1" applyAlignment="1">
      <alignment horizontal="right"/>
    </xf>
    <xf numFmtId="0" fontId="7" fillId="0" borderId="0" xfId="0" applyFont="1" applyAlignment="1">
      <alignment horizontal="left" indent="3"/>
    </xf>
    <xf numFmtId="0" fontId="7" fillId="5" borderId="0" xfId="0" applyFont="1" applyFill="1" applyAlignment="1">
      <alignment horizontal="left"/>
    </xf>
    <xf numFmtId="3" fontId="8" fillId="0" borderId="0" xfId="0" applyNumberFormat="1" applyFont="1" applyAlignment="1">
      <alignment horizontal="right"/>
    </xf>
    <xf numFmtId="0" fontId="0" fillId="5" borderId="0" xfId="0" applyFill="1" applyAlignment="1">
      <alignment horizontal="left"/>
    </xf>
    <xf numFmtId="0" fontId="0" fillId="0" borderId="0" xfId="0" applyAlignment="1">
      <alignment horizontal="left" indent="1"/>
    </xf>
    <xf numFmtId="0" fontId="0" fillId="5" borderId="0" xfId="0" applyFill="1" applyAlignment="1">
      <alignment horizontal="left" indent="1"/>
    </xf>
    <xf numFmtId="4" fontId="0" fillId="5" borderId="0" xfId="0" applyNumberFormat="1" applyFill="1" applyAlignment="1">
      <alignment horizontal="right"/>
    </xf>
    <xf numFmtId="4" fontId="7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4" fontId="7" fillId="5" borderId="0" xfId="0" applyNumberFormat="1" applyFont="1" applyFill="1" applyAlignment="1">
      <alignment horizontal="right"/>
    </xf>
    <xf numFmtId="0" fontId="9" fillId="0" borderId="0" xfId="0" applyFont="1" applyAlignment="1">
      <alignment horizontal="left"/>
    </xf>
    <xf numFmtId="3" fontId="10" fillId="0" borderId="0" xfId="0" applyNumberFormat="1" applyFont="1"/>
    <xf numFmtId="164" fontId="7" fillId="5" borderId="0" xfId="0" applyNumberFormat="1" applyFont="1" applyFill="1" applyAlignment="1">
      <alignment horizontal="right"/>
    </xf>
    <xf numFmtId="164" fontId="8" fillId="0" borderId="0" xfId="0" applyNumberFormat="1" applyFont="1" applyAlignment="1">
      <alignment horizontal="right"/>
    </xf>
    <xf numFmtId="164" fontId="0" fillId="5" borderId="0" xfId="0" applyNumberFormat="1" applyFill="1" applyAlignment="1">
      <alignment horizontal="right"/>
    </xf>
    <xf numFmtId="164" fontId="8" fillId="5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7" fillId="0" borderId="0" xfId="0" applyNumberFormat="1" applyFont="1" applyAlignment="1">
      <alignment horizontal="right"/>
    </xf>
    <xf numFmtId="0" fontId="7" fillId="0" borderId="0" xfId="0" applyFont="1" applyAlignment="1">
      <alignment horizontal="left" indent="6"/>
    </xf>
    <xf numFmtId="0" fontId="11" fillId="0" borderId="0" xfId="0" applyFont="1"/>
    <xf numFmtId="9" fontId="11" fillId="0" borderId="0" xfId="0" applyNumberFormat="1" applyFont="1"/>
    <xf numFmtId="0" fontId="7" fillId="4" borderId="0" xfId="0" applyFont="1" applyFill="1" applyAlignment="1">
      <alignment horizontal="left"/>
    </xf>
    <xf numFmtId="3" fontId="3" fillId="0" borderId="0" xfId="0" applyNumberFormat="1" applyFont="1"/>
    <xf numFmtId="3" fontId="12" fillId="0" borderId="0" xfId="0" applyNumberFormat="1" applyFont="1"/>
    <xf numFmtId="9" fontId="3" fillId="3" borderId="2" xfId="0" applyNumberFormat="1" applyFont="1" applyFill="1" applyBorder="1"/>
    <xf numFmtId="0" fontId="3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9" fontId="3" fillId="3" borderId="2" xfId="0" applyNumberFormat="1" applyFont="1" applyFill="1" applyBorder="1" applyAlignment="1">
      <alignment horizontal="center"/>
    </xf>
    <xf numFmtId="0" fontId="2" fillId="0" borderId="0" xfId="0" applyFont="1"/>
    <xf numFmtId="3" fontId="13" fillId="0" borderId="0" xfId="0" applyNumberFormat="1" applyFont="1"/>
    <xf numFmtId="0" fontId="11" fillId="0" borderId="0" xfId="0" quotePrefix="1" applyFont="1" applyAlignment="1">
      <alignment horizontal="right"/>
    </xf>
    <xf numFmtId="9" fontId="3" fillId="0" borderId="0" xfId="0" applyNumberFormat="1" applyFont="1"/>
    <xf numFmtId="0" fontId="13" fillId="0" borderId="0" xfId="0" applyFont="1"/>
    <xf numFmtId="0" fontId="14" fillId="6" borderId="0" xfId="0" applyFont="1" applyFill="1"/>
    <xf numFmtId="0" fontId="3" fillId="6" borderId="0" xfId="0" applyFont="1" applyFill="1"/>
    <xf numFmtId="10" fontId="3" fillId="3" borderId="2" xfId="0" applyNumberFormat="1" applyFont="1" applyFill="1" applyBorder="1"/>
    <xf numFmtId="10" fontId="3" fillId="0" borderId="0" xfId="0" applyNumberFormat="1" applyFont="1"/>
    <xf numFmtId="10" fontId="3" fillId="3" borderId="2" xfId="0" applyNumberFormat="1" applyFont="1" applyFill="1" applyBorder="1" applyAlignment="1">
      <alignment horizontal="center"/>
    </xf>
    <xf numFmtId="165" fontId="3" fillId="3" borderId="2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" fontId="3" fillId="0" borderId="0" xfId="0" applyNumberFormat="1" applyFont="1"/>
    <xf numFmtId="14" fontId="2" fillId="0" borderId="0" xfId="0" applyNumberFormat="1" applyFont="1"/>
    <xf numFmtId="0" fontId="3" fillId="0" borderId="8" xfId="0" applyFont="1" applyBorder="1"/>
    <xf numFmtId="0" fontId="3" fillId="0" borderId="9" xfId="0" applyFont="1" applyBorder="1"/>
    <xf numFmtId="3" fontId="3" fillId="0" borderId="9" xfId="0" applyNumberFormat="1" applyFont="1" applyBorder="1"/>
    <xf numFmtId="3" fontId="3" fillId="0" borderId="10" xfId="0" applyNumberFormat="1" applyFont="1" applyBorder="1"/>
    <xf numFmtId="0" fontId="3" fillId="0" borderId="11" xfId="0" applyFont="1" applyBorder="1"/>
    <xf numFmtId="3" fontId="3" fillId="0" borderId="1" xfId="0" applyNumberFormat="1" applyFont="1" applyBorder="1"/>
    <xf numFmtId="3" fontId="3" fillId="0" borderId="12" xfId="0" applyNumberFormat="1" applyFont="1" applyBorder="1"/>
    <xf numFmtId="3" fontId="3" fillId="3" borderId="2" xfId="0" applyNumberFormat="1" applyFont="1" applyFill="1" applyBorder="1"/>
    <xf numFmtId="166" fontId="2" fillId="0" borderId="0" xfId="2" applyNumberFormat="1" applyFont="1" applyBorder="1"/>
    <xf numFmtId="166" fontId="3" fillId="0" borderId="0" xfId="0" applyNumberFormat="1" applyFont="1"/>
    <xf numFmtId="167" fontId="2" fillId="0" borderId="0" xfId="1" applyNumberFormat="1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13" xfId="0" applyFont="1" applyBorder="1"/>
    <xf numFmtId="0" fontId="19" fillId="0" borderId="13" xfId="0" applyFont="1" applyBorder="1"/>
    <xf numFmtId="1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7" borderId="0" xfId="0" applyFont="1" applyFill="1"/>
    <xf numFmtId="0" fontId="14" fillId="7" borderId="0" xfId="0" applyFont="1" applyFill="1"/>
    <xf numFmtId="0" fontId="20" fillId="0" borderId="0" xfId="0" applyFont="1"/>
    <xf numFmtId="0" fontId="3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3" xfId="0" applyFont="1" applyFill="1" applyBorder="1" applyAlignment="1">
      <alignment horizontal="center"/>
    </xf>
    <xf numFmtId="38" fontId="3" fillId="0" borderId="0" xfId="0" applyNumberFormat="1" applyFont="1"/>
    <xf numFmtId="0" fontId="22" fillId="8" borderId="1" xfId="0" applyFont="1" applyFill="1" applyBorder="1"/>
    <xf numFmtId="0" fontId="22" fillId="8" borderId="0" xfId="0" applyFont="1" applyFill="1" applyAlignment="1">
      <alignment horizontal="center"/>
    </xf>
    <xf numFmtId="0" fontId="21" fillId="0" borderId="0" xfId="0" applyFont="1"/>
    <xf numFmtId="39" fontId="3" fillId="0" borderId="0" xfId="0" applyNumberFormat="1" applyFont="1"/>
    <xf numFmtId="37" fontId="3" fillId="0" borderId="0" xfId="0" applyNumberFormat="1" applyFont="1"/>
    <xf numFmtId="0" fontId="2" fillId="9" borderId="0" xfId="0" applyFont="1" applyFill="1"/>
    <xf numFmtId="0" fontId="3" fillId="9" borderId="0" xfId="0" applyFont="1" applyFill="1"/>
    <xf numFmtId="9" fontId="3" fillId="0" borderId="0" xfId="0" applyNumberFormat="1" applyFont="1" applyAlignment="1">
      <alignment horizontal="center"/>
    </xf>
    <xf numFmtId="39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39" fontId="2" fillId="9" borderId="0" xfId="0" applyNumberFormat="1" applyFont="1" applyFill="1" applyAlignment="1">
      <alignment horizontal="center"/>
    </xf>
    <xf numFmtId="168" fontId="2" fillId="9" borderId="0" xfId="0" applyNumberFormat="1" applyFont="1" applyFill="1" applyAlignment="1">
      <alignment horizontal="center"/>
    </xf>
    <xf numFmtId="0" fontId="2" fillId="8" borderId="0" xfId="0" applyFont="1" applyFill="1"/>
    <xf numFmtId="0" fontId="2" fillId="8" borderId="1" xfId="0" applyFont="1" applyFill="1" applyBorder="1"/>
    <xf numFmtId="0" fontId="3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37" fontId="3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37" fontId="20" fillId="0" borderId="0" xfId="0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10" fontId="3" fillId="10" borderId="0" xfId="0" applyNumberFormat="1" applyFont="1" applyFill="1"/>
    <xf numFmtId="10" fontId="3" fillId="10" borderId="0" xfId="1" applyNumberFormat="1" applyFont="1" applyFill="1"/>
    <xf numFmtId="2" fontId="3" fillId="10" borderId="0" xfId="0" applyNumberFormat="1" applyFont="1" applyFill="1"/>
    <xf numFmtId="2" fontId="4" fillId="6" borderId="0" xfId="0" applyNumberFormat="1" applyFont="1" applyFill="1"/>
    <xf numFmtId="0" fontId="23" fillId="0" borderId="1" xfId="0" applyFont="1" applyBorder="1"/>
    <xf numFmtId="0" fontId="3" fillId="11" borderId="6" xfId="0" applyFont="1" applyFill="1" applyBorder="1"/>
    <xf numFmtId="9" fontId="12" fillId="0" borderId="0" xfId="0" applyNumberFormat="1" applyFont="1"/>
    <xf numFmtId="9" fontId="25" fillId="0" borderId="0" xfId="0" applyNumberFormat="1" applyFont="1"/>
    <xf numFmtId="0" fontId="2" fillId="0" borderId="5" xfId="0" applyFont="1" applyBorder="1"/>
    <xf numFmtId="0" fontId="2" fillId="0" borderId="6" xfId="0" applyFont="1" applyBorder="1"/>
    <xf numFmtId="3" fontId="2" fillId="0" borderId="6" xfId="0" applyNumberFormat="1" applyFont="1" applyBorder="1"/>
    <xf numFmtId="3" fontId="2" fillId="0" borderId="7" xfId="0" applyNumberFormat="1" applyFont="1" applyBorder="1"/>
    <xf numFmtId="169" fontId="3" fillId="0" borderId="0" xfId="0" applyNumberFormat="1" applyFont="1"/>
    <xf numFmtId="0" fontId="14" fillId="12" borderId="0" xfId="0" applyFont="1" applyFill="1"/>
    <xf numFmtId="0" fontId="3" fillId="12" borderId="0" xfId="0" applyFont="1" applyFill="1"/>
    <xf numFmtId="0" fontId="3" fillId="11" borderId="5" xfId="0" applyFont="1" applyFill="1" applyBorder="1"/>
    <xf numFmtId="0" fontId="3" fillId="11" borderId="7" xfId="0" applyFont="1" applyFill="1" applyBorder="1"/>
    <xf numFmtId="3" fontId="12" fillId="0" borderId="9" xfId="0" applyNumberFormat="1" applyFont="1" applyBorder="1"/>
    <xf numFmtId="0" fontId="11" fillId="0" borderId="11" xfId="0" applyFont="1" applyBorder="1"/>
    <xf numFmtId="0" fontId="11" fillId="0" borderId="1" xfId="0" applyFont="1" applyBorder="1"/>
    <xf numFmtId="9" fontId="11" fillId="0" borderId="1" xfId="1" quotePrefix="1" applyFont="1" applyBorder="1" applyAlignment="1">
      <alignment horizontal="right"/>
    </xf>
    <xf numFmtId="9" fontId="11" fillId="0" borderId="1" xfId="1" applyFont="1" applyBorder="1"/>
    <xf numFmtId="9" fontId="11" fillId="0" borderId="0" xfId="1" quotePrefix="1" applyFont="1" applyBorder="1" applyAlignment="1">
      <alignment horizontal="right"/>
    </xf>
    <xf numFmtId="9" fontId="11" fillId="0" borderId="0" xfId="1" applyFont="1" applyBorder="1"/>
    <xf numFmtId="9" fontId="25" fillId="0" borderId="0" xfId="1" applyFont="1" applyBorder="1"/>
    <xf numFmtId="0" fontId="14" fillId="2" borderId="0" xfId="0" applyFont="1" applyFill="1"/>
    <xf numFmtId="0" fontId="14" fillId="2" borderId="0" xfId="0" applyFont="1" applyFill="1" applyAlignment="1">
      <alignment horizontal="right"/>
    </xf>
    <xf numFmtId="0" fontId="26" fillId="0" borderId="1" xfId="0" applyFont="1" applyBorder="1"/>
    <xf numFmtId="1" fontId="3" fillId="0" borderId="0" xfId="0" applyNumberFormat="1" applyFont="1"/>
    <xf numFmtId="3" fontId="12" fillId="0" borderId="10" xfId="0" applyNumberFormat="1" applyFont="1" applyBorder="1"/>
    <xf numFmtId="38" fontId="12" fillId="0" borderId="0" xfId="0" applyNumberFormat="1" applyFont="1"/>
    <xf numFmtId="170" fontId="12" fillId="0" borderId="0" xfId="0" applyNumberFormat="1" applyFont="1"/>
    <xf numFmtId="170" fontId="3" fillId="0" borderId="0" xfId="0" applyNumberFormat="1" applyFont="1"/>
    <xf numFmtId="9" fontId="27" fillId="0" borderId="0" xfId="0" quotePrefix="1" applyNumberFormat="1" applyFont="1" applyAlignment="1">
      <alignment horizontal="right"/>
    </xf>
    <xf numFmtId="9" fontId="27" fillId="0" borderId="0" xfId="0" applyNumberFormat="1" applyFont="1"/>
    <xf numFmtId="9" fontId="10" fillId="0" borderId="0" xfId="0" applyNumberFormat="1" applyFont="1"/>
    <xf numFmtId="3" fontId="21" fillId="0" borderId="0" xfId="0" applyNumberFormat="1" applyFont="1"/>
    <xf numFmtId="10" fontId="10" fillId="0" borderId="0" xfId="0" applyNumberFormat="1" applyFont="1"/>
    <xf numFmtId="38" fontId="10" fillId="0" borderId="0" xfId="0" applyNumberFormat="1" applyFont="1"/>
    <xf numFmtId="9" fontId="10" fillId="0" borderId="0" xfId="1" applyFont="1"/>
    <xf numFmtId="10" fontId="25" fillId="0" borderId="0" xfId="1" applyNumberFormat="1" applyFont="1" applyBorder="1"/>
    <xf numFmtId="9" fontId="3" fillId="0" borderId="1" xfId="0" applyNumberFormat="1" applyFont="1" applyBorder="1"/>
    <xf numFmtId="9" fontId="3" fillId="0" borderId="12" xfId="0" applyNumberFormat="1" applyFont="1" applyBorder="1"/>
    <xf numFmtId="0" fontId="12" fillId="0" borderId="0" xfId="0" applyFont="1"/>
    <xf numFmtId="9" fontId="28" fillId="0" borderId="0" xfId="0" applyNumberFormat="1" applyFont="1"/>
    <xf numFmtId="9" fontId="21" fillId="0" borderId="0" xfId="0" applyNumberFormat="1" applyFont="1"/>
    <xf numFmtId="0" fontId="3" fillId="1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8" borderId="13" xfId="0" applyFont="1" applyFill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2" fillId="8" borderId="1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4" fillId="6" borderId="0" xfId="0" applyFont="1" applyFill="1" applyAlignment="1">
      <alignment horizontal="center" vertical="center" textRotation="90"/>
    </xf>
    <xf numFmtId="0" fontId="14" fillId="6" borderId="0" xfId="0" applyFont="1" applyFill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0066FF"/>
      <color rgb="FF63BE7B"/>
      <color rgb="FFFF5050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A1DB-6135-4BC1-9300-47842796C361}">
  <dimension ref="A2:AC47"/>
  <sheetViews>
    <sheetView showGridLines="0" tabSelected="1" topLeftCell="B1" zoomScale="90" zoomScaleNormal="90" workbookViewId="0">
      <pane xSplit="2" ySplit="10" topLeftCell="D11" activePane="bottomRight" state="frozen"/>
      <selection activeCell="B1" sqref="B1"/>
      <selection pane="topRight" activeCell="D1" sqref="D1"/>
      <selection pane="bottomLeft" activeCell="B11" sqref="B11"/>
      <selection pane="bottomRight" activeCell="H6" sqref="H6"/>
    </sheetView>
  </sheetViews>
  <sheetFormatPr defaultColWidth="9" defaultRowHeight="15.6" x14ac:dyDescent="0.3"/>
  <cols>
    <col min="1" max="1" width="4.19921875" style="2" customWidth="1"/>
    <col min="2" max="2" width="9" style="2"/>
    <col min="3" max="3" width="21.8984375" style="2" bestFit="1" customWidth="1"/>
    <col min="4" max="5" width="9" style="2"/>
    <col min="6" max="6" width="11" style="2" customWidth="1"/>
    <col min="7" max="7" width="9.59765625" style="2" customWidth="1"/>
    <col min="8" max="8" width="9" style="2"/>
    <col min="9" max="11" width="9.5" style="2" bestFit="1" customWidth="1"/>
    <col min="12" max="13" width="9.09765625" style="2" bestFit="1" customWidth="1"/>
    <col min="14" max="14" width="10.09765625" style="2" customWidth="1"/>
    <col min="15" max="15" width="9.09765625" style="2" bestFit="1" customWidth="1"/>
    <col min="16" max="16" width="9" style="2"/>
    <col min="17" max="19" width="9.09765625" style="2" bestFit="1" customWidth="1"/>
    <col min="20" max="20" width="11" style="2" customWidth="1"/>
    <col min="21" max="22" width="9.09765625" style="2" bestFit="1" customWidth="1"/>
    <col min="23" max="23" width="9" style="2"/>
    <col min="24" max="24" width="10.8984375" style="2" customWidth="1"/>
    <col min="25" max="29" width="9.09765625" style="2" bestFit="1" customWidth="1"/>
    <col min="30" max="16384" width="9" style="2"/>
  </cols>
  <sheetData>
    <row r="2" spans="1:29" s="82" customFormat="1" ht="26.4" thickBot="1" x14ac:dyDescent="0.55000000000000004">
      <c r="B2" s="83" t="s">
        <v>209</v>
      </c>
    </row>
    <row r="3" spans="1:29" x14ac:dyDescent="0.3">
      <c r="C3" s="161" t="s">
        <v>378</v>
      </c>
    </row>
    <row r="4" spans="1:29" x14ac:dyDescent="0.3">
      <c r="B4" s="53" t="s">
        <v>137</v>
      </c>
      <c r="C4" s="84">
        <f ca="1">TODAY()</f>
        <v>46037</v>
      </c>
    </row>
    <row r="5" spans="1:29" x14ac:dyDescent="0.3">
      <c r="B5" s="53" t="s">
        <v>210</v>
      </c>
      <c r="C5" s="85" t="s">
        <v>211</v>
      </c>
    </row>
    <row r="7" spans="1:29" x14ac:dyDescent="0.3"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93"/>
      <c r="Y7" s="93"/>
      <c r="Z7" s="163" t="s">
        <v>232</v>
      </c>
      <c r="AA7" s="163"/>
      <c r="AB7" s="93"/>
      <c r="AC7" s="93"/>
    </row>
    <row r="8" spans="1:29" s="64" customFormat="1" ht="16.2" thickBot="1" x14ac:dyDescent="0.35">
      <c r="B8" s="90"/>
      <c r="C8" s="90"/>
      <c r="D8" s="90" t="s">
        <v>174</v>
      </c>
      <c r="E8" s="90" t="s">
        <v>214</v>
      </c>
      <c r="F8" s="90" t="s">
        <v>216</v>
      </c>
      <c r="G8" s="90" t="s">
        <v>218</v>
      </c>
      <c r="H8" s="90"/>
      <c r="I8" s="162" t="s">
        <v>3</v>
      </c>
      <c r="J8" s="162"/>
      <c r="K8" s="162"/>
      <c r="L8" s="162" t="s">
        <v>52</v>
      </c>
      <c r="M8" s="162"/>
      <c r="N8" s="162" t="s">
        <v>42</v>
      </c>
      <c r="O8" s="162"/>
      <c r="P8" s="90"/>
      <c r="Q8" s="162" t="s">
        <v>227</v>
      </c>
      <c r="R8" s="162"/>
      <c r="S8" s="162" t="s">
        <v>228</v>
      </c>
      <c r="T8" s="162"/>
      <c r="U8" s="162" t="s">
        <v>231</v>
      </c>
      <c r="V8" s="162"/>
      <c r="W8" s="90"/>
      <c r="X8" s="164" t="s">
        <v>233</v>
      </c>
      <c r="Y8" s="164"/>
      <c r="Z8" s="164" t="s">
        <v>234</v>
      </c>
      <c r="AA8" s="164"/>
      <c r="AB8" s="164" t="s">
        <v>235</v>
      </c>
      <c r="AC8" s="164"/>
    </row>
    <row r="9" spans="1:29" s="64" customFormat="1" x14ac:dyDescent="0.3">
      <c r="B9" s="90" t="s">
        <v>136</v>
      </c>
      <c r="C9" s="90" t="s">
        <v>212</v>
      </c>
      <c r="D9" s="90" t="s">
        <v>213</v>
      </c>
      <c r="E9" s="90" t="s">
        <v>215</v>
      </c>
      <c r="F9" s="90" t="s">
        <v>217</v>
      </c>
      <c r="G9" s="90" t="s">
        <v>219</v>
      </c>
      <c r="H9" s="90"/>
      <c r="I9" s="90">
        <v>22</v>
      </c>
      <c r="J9" s="90">
        <v>23</v>
      </c>
      <c r="K9" s="90">
        <v>24</v>
      </c>
      <c r="L9" s="90">
        <v>23</v>
      </c>
      <c r="M9" s="90">
        <v>24</v>
      </c>
      <c r="N9" s="90">
        <v>23</v>
      </c>
      <c r="O9" s="90">
        <v>24</v>
      </c>
      <c r="P9" s="90"/>
      <c r="Q9" s="90" t="s">
        <v>229</v>
      </c>
      <c r="R9" s="90" t="s">
        <v>230</v>
      </c>
      <c r="S9" s="90">
        <v>23</v>
      </c>
      <c r="T9" s="90">
        <v>24</v>
      </c>
      <c r="U9" s="90">
        <v>23</v>
      </c>
      <c r="V9" s="90">
        <v>24</v>
      </c>
      <c r="W9" s="90"/>
      <c r="X9" s="94">
        <v>23</v>
      </c>
      <c r="Y9" s="94">
        <v>24</v>
      </c>
      <c r="Z9" s="94">
        <v>23</v>
      </c>
      <c r="AA9" s="94">
        <v>24</v>
      </c>
      <c r="AB9" s="94">
        <v>23</v>
      </c>
      <c r="AC9" s="94">
        <v>24</v>
      </c>
    </row>
    <row r="10" spans="1:29" ht="3" customHeight="1" x14ac:dyDescent="0.3">
      <c r="X10" s="95"/>
      <c r="Y10" s="95"/>
      <c r="Z10" s="95"/>
      <c r="AA10" s="95"/>
      <c r="AB10" s="95"/>
      <c r="AC10" s="95"/>
    </row>
    <row r="11" spans="1:29" x14ac:dyDescent="0.3">
      <c r="B11" s="88" t="s">
        <v>359</v>
      </c>
      <c r="C11" s="2" t="str">
        <f>_xlfn.XLOOKUP($B11,$B$36:$B$47,C$36:C$47,,0)</f>
        <v xml:space="preserve">Lululemon </v>
      </c>
      <c r="D11" s="2">
        <f>_xlfn.XLOOKUP($B11,$B$36:$B$47,D$36:D$47,,0)</f>
        <v>205.57</v>
      </c>
      <c r="E11" s="92">
        <f>_xlfn.XLOOKUP($B11,$B$36:$B$47,E$36:E$47,,0)</f>
        <v>116.370231</v>
      </c>
      <c r="F11" s="92">
        <f>_xlfn.XLOOKUP($B11,$B$36:$B$47,F$36:F$47,,0)</f>
        <v>24272.29</v>
      </c>
      <c r="G11" s="92">
        <f>_xlfn.XLOOKUP($B11,$B$36:$B$47,G$36:G$47,,0)</f>
        <v>23059.22</v>
      </c>
      <c r="H11" s="92"/>
      <c r="I11" s="97">
        <f t="shared" ref="I11:O11" si="0">_xlfn.XLOOKUP($B11,$B$36:$B$47,I$36:I$47,,0)</f>
        <v>8111</v>
      </c>
      <c r="J11" s="97">
        <f t="shared" si="0"/>
        <v>9619</v>
      </c>
      <c r="K11" s="97">
        <f t="shared" si="0"/>
        <v>10588</v>
      </c>
      <c r="L11" s="97">
        <f t="shared" si="0"/>
        <v>2587</v>
      </c>
      <c r="M11" s="97">
        <f t="shared" si="0"/>
        <v>2946</v>
      </c>
      <c r="N11" s="97">
        <f t="shared" si="0"/>
        <v>1550</v>
      </c>
      <c r="O11" s="97">
        <f t="shared" si="0"/>
        <v>1815</v>
      </c>
      <c r="P11" s="96"/>
      <c r="Q11" s="100">
        <f>J11/I11-1</f>
        <v>0.18592035507335725</v>
      </c>
      <c r="R11" s="100">
        <f>K11/J11-1</f>
        <v>0.10073812246595271</v>
      </c>
      <c r="S11" s="100">
        <f>L11/J11</f>
        <v>0.26894687597463351</v>
      </c>
      <c r="T11" s="100">
        <f t="shared" ref="T11" si="1">M11/K11</f>
        <v>0.27823951643369854</v>
      </c>
      <c r="U11" s="100">
        <f>N11/J11</f>
        <v>0.16113941158124545</v>
      </c>
      <c r="V11" s="100">
        <f>O11/K11</f>
        <v>0.171420476010578</v>
      </c>
      <c r="W11" s="101"/>
      <c r="X11" s="102">
        <f t="shared" ref="X11:AC11" si="2">$F11/J11</f>
        <v>2.5233693731157087</v>
      </c>
      <c r="Y11" s="102">
        <f t="shared" si="2"/>
        <v>2.2924338874197203</v>
      </c>
      <c r="Z11" s="102">
        <f t="shared" si="2"/>
        <v>9.3824081948202558</v>
      </c>
      <c r="AA11" s="102">
        <f t="shared" si="2"/>
        <v>8.2390665308893425</v>
      </c>
      <c r="AB11" s="102">
        <f t="shared" si="2"/>
        <v>15.659541935483871</v>
      </c>
      <c r="AC11" s="102">
        <f t="shared" si="2"/>
        <v>13.373162534435263</v>
      </c>
    </row>
    <row r="12" spans="1:29" ht="3" customHeight="1" x14ac:dyDescent="0.3">
      <c r="B12" s="88"/>
      <c r="E12" s="92"/>
      <c r="F12" s="92"/>
      <c r="G12" s="92"/>
      <c r="H12" s="92"/>
      <c r="I12" s="97"/>
      <c r="J12" s="97"/>
      <c r="K12" s="97"/>
      <c r="L12" s="97"/>
      <c r="M12" s="97"/>
      <c r="N12" s="97"/>
      <c r="O12" s="97"/>
      <c r="P12" s="96"/>
      <c r="Q12" s="100"/>
      <c r="R12" s="100"/>
      <c r="S12" s="100"/>
      <c r="T12" s="100"/>
      <c r="U12" s="100"/>
      <c r="V12" s="100"/>
      <c r="W12" s="101"/>
      <c r="X12" s="102"/>
      <c r="Y12" s="102"/>
      <c r="Z12" s="102"/>
      <c r="AA12" s="102"/>
      <c r="AB12" s="102"/>
      <c r="AC12" s="102"/>
    </row>
    <row r="13" spans="1:29" x14ac:dyDescent="0.3">
      <c r="A13" s="2">
        <v>1</v>
      </c>
      <c r="B13" s="88" t="s">
        <v>360</v>
      </c>
      <c r="C13" s="2" t="str">
        <f t="shared" ref="C13:G19" si="3">_xlfn.XLOOKUP($B13,$B$36:$B$47,C$36:C$47,,0)</f>
        <v xml:space="preserve">Columbia Sportswear </v>
      </c>
      <c r="D13" s="2">
        <f t="shared" si="3"/>
        <v>55.18</v>
      </c>
      <c r="E13" s="92">
        <f t="shared" si="3"/>
        <v>58.5</v>
      </c>
      <c r="F13" s="92">
        <f t="shared" si="3"/>
        <v>3022.21</v>
      </c>
      <c r="G13" s="92">
        <f t="shared" si="3"/>
        <v>2502.31</v>
      </c>
      <c r="H13" s="92"/>
      <c r="I13" s="97">
        <f t="shared" ref="I13:O19" si="4">_xlfn.XLOOKUP($B13,$B$36:$B$47,I$36:I$47,,0)</f>
        <v>3464</v>
      </c>
      <c r="J13" s="97">
        <f t="shared" si="4"/>
        <v>3487</v>
      </c>
      <c r="K13" s="97">
        <f t="shared" si="4"/>
        <v>3370</v>
      </c>
      <c r="L13" s="97">
        <f t="shared" si="4"/>
        <v>441</v>
      </c>
      <c r="M13" s="97">
        <f t="shared" si="4"/>
        <v>322</v>
      </c>
      <c r="N13" s="97">
        <f t="shared" si="4"/>
        <v>251</v>
      </c>
      <c r="O13" s="97">
        <f t="shared" si="4"/>
        <v>223</v>
      </c>
      <c r="P13" s="96"/>
      <c r="Q13" s="100">
        <f>J13/I13-1</f>
        <v>6.6397228637413708E-3</v>
      </c>
      <c r="R13" s="100">
        <f t="shared" ref="R13:R19" si="5">K13/J13-1</f>
        <v>-3.3553197591052464E-2</v>
      </c>
      <c r="S13" s="100">
        <f t="shared" ref="S13:S19" si="6">L13/J13</f>
        <v>0.12646974476627473</v>
      </c>
      <c r="T13" s="100">
        <f t="shared" ref="T13:T19" si="7">M13/K13</f>
        <v>9.5548961424332349E-2</v>
      </c>
      <c r="U13" s="100">
        <f t="shared" ref="U13:U19" si="8">N13/J13</f>
        <v>7.1981646114138223E-2</v>
      </c>
      <c r="V13" s="100">
        <f t="shared" ref="V13:V19" si="9">O13/K13</f>
        <v>6.6172106824925817E-2</v>
      </c>
      <c r="W13" s="101"/>
      <c r="X13" s="102">
        <f t="shared" ref="X13:AC19" si="10">$F13/J13</f>
        <v>0.86670777172354463</v>
      </c>
      <c r="Y13" s="102">
        <f t="shared" si="10"/>
        <v>0.89679821958456973</v>
      </c>
      <c r="Z13" s="102">
        <f t="shared" si="10"/>
        <v>6.8530839002267578</v>
      </c>
      <c r="AA13" s="102">
        <f t="shared" si="10"/>
        <v>9.385745341614907</v>
      </c>
      <c r="AB13" s="102">
        <f t="shared" si="10"/>
        <v>12.040677290836653</v>
      </c>
      <c r="AC13" s="102">
        <f t="shared" si="10"/>
        <v>13.552511210762331</v>
      </c>
    </row>
    <row r="14" spans="1:29" x14ac:dyDescent="0.3">
      <c r="A14" s="2">
        <v>2</v>
      </c>
      <c r="B14" s="88" t="s">
        <v>361</v>
      </c>
      <c r="C14" s="2" t="str">
        <f t="shared" si="3"/>
        <v>Under Armour</v>
      </c>
      <c r="D14" s="2">
        <f t="shared" si="3"/>
        <v>5.04</v>
      </c>
      <c r="E14" s="92">
        <f t="shared" si="3"/>
        <v>432.25</v>
      </c>
      <c r="F14" s="92">
        <f t="shared" si="3"/>
        <v>2142.7600000000002</v>
      </c>
      <c r="G14" s="92">
        <f t="shared" si="3"/>
        <v>2346.62</v>
      </c>
      <c r="H14" s="92"/>
      <c r="I14" s="97">
        <f t="shared" si="4"/>
        <v>5859</v>
      </c>
      <c r="J14" s="97">
        <f t="shared" si="4"/>
        <v>5694</v>
      </c>
      <c r="K14" s="97">
        <f t="shared" si="4"/>
        <v>5166</v>
      </c>
      <c r="L14" s="97">
        <f t="shared" si="4"/>
        <v>375</v>
      </c>
      <c r="M14" s="97">
        <f t="shared" si="4"/>
        <v>307</v>
      </c>
      <c r="N14" s="97">
        <f t="shared" si="4"/>
        <v>232</v>
      </c>
      <c r="O14" s="97">
        <f t="shared" si="4"/>
        <v>-201</v>
      </c>
      <c r="P14" s="96"/>
      <c r="Q14" s="100">
        <f t="shared" ref="Q14:Q19" si="11">J14/I14-1</f>
        <v>-2.8161802355350707E-2</v>
      </c>
      <c r="R14" s="100">
        <f t="shared" si="5"/>
        <v>-9.2729188619599556E-2</v>
      </c>
      <c r="S14" s="100">
        <f t="shared" si="6"/>
        <v>6.5858798735511065E-2</v>
      </c>
      <c r="T14" s="100">
        <f t="shared" si="7"/>
        <v>5.942702284165699E-2</v>
      </c>
      <c r="U14" s="100">
        <f t="shared" si="8"/>
        <v>4.0744643484369514E-2</v>
      </c>
      <c r="V14" s="100">
        <f t="shared" si="9"/>
        <v>-3.8908246225319396E-2</v>
      </c>
      <c r="W14" s="101"/>
      <c r="X14" s="102">
        <f t="shared" si="10"/>
        <v>0.3763189322093432</v>
      </c>
      <c r="Y14" s="102">
        <f t="shared" si="10"/>
        <v>0.41478126209833532</v>
      </c>
      <c r="Z14" s="102">
        <f t="shared" si="10"/>
        <v>5.7140266666666673</v>
      </c>
      <c r="AA14" s="102">
        <f t="shared" si="10"/>
        <v>6.9796742671009779</v>
      </c>
      <c r="AB14" s="102">
        <f t="shared" si="10"/>
        <v>9.2360344827586225</v>
      </c>
      <c r="AC14" s="102">
        <f t="shared" si="10"/>
        <v>-10.660497512437813</v>
      </c>
    </row>
    <row r="15" spans="1:29" x14ac:dyDescent="0.3">
      <c r="A15" s="2">
        <v>3</v>
      </c>
      <c r="B15" s="88" t="s">
        <v>362</v>
      </c>
      <c r="C15" s="2" t="str">
        <f t="shared" si="3"/>
        <v xml:space="preserve">Artizia </v>
      </c>
      <c r="D15" s="2">
        <f t="shared" si="3"/>
        <v>57.48</v>
      </c>
      <c r="E15" s="92">
        <f t="shared" si="3"/>
        <v>116.73</v>
      </c>
      <c r="F15" s="92">
        <f t="shared" si="3"/>
        <v>6579.19</v>
      </c>
      <c r="G15" s="92">
        <f t="shared" si="3"/>
        <v>6722.82</v>
      </c>
      <c r="H15" s="92"/>
      <c r="I15" s="97">
        <f t="shared" si="4"/>
        <v>1670.9</v>
      </c>
      <c r="J15" s="97">
        <f t="shared" si="4"/>
        <v>1727.6</v>
      </c>
      <c r="K15" s="97">
        <f t="shared" si="4"/>
        <v>1977.8</v>
      </c>
      <c r="L15" s="97">
        <f t="shared" si="4"/>
        <v>241.8</v>
      </c>
      <c r="M15" s="97">
        <f t="shared" si="4"/>
        <v>347.8</v>
      </c>
      <c r="N15" s="97">
        <f t="shared" si="4"/>
        <v>58.4</v>
      </c>
      <c r="O15" s="97">
        <f t="shared" si="4"/>
        <v>150.1</v>
      </c>
      <c r="P15" s="96"/>
      <c r="Q15" s="100">
        <f t="shared" si="11"/>
        <v>3.3933808127356357E-2</v>
      </c>
      <c r="R15" s="100">
        <f t="shared" si="5"/>
        <v>0.14482519101643909</v>
      </c>
      <c r="S15" s="100">
        <f t="shared" si="6"/>
        <v>0.13996295438758974</v>
      </c>
      <c r="T15" s="100">
        <f t="shared" si="7"/>
        <v>0.17585195671958742</v>
      </c>
      <c r="U15" s="100">
        <f t="shared" si="8"/>
        <v>3.3804121324380647E-2</v>
      </c>
      <c r="V15" s="100">
        <f t="shared" si="9"/>
        <v>7.5892405703306701E-2</v>
      </c>
      <c r="W15" s="101"/>
      <c r="X15" s="102">
        <f t="shared" si="10"/>
        <v>3.8082831673998609</v>
      </c>
      <c r="Y15" s="102">
        <f t="shared" si="10"/>
        <v>3.3265193649509555</v>
      </c>
      <c r="Z15" s="102">
        <f t="shared" si="10"/>
        <v>27.209222497932174</v>
      </c>
      <c r="AA15" s="102">
        <f t="shared" si="10"/>
        <v>18.916589994249566</v>
      </c>
      <c r="AB15" s="102">
        <f t="shared" si="10"/>
        <v>112.65736301369863</v>
      </c>
      <c r="AC15" s="102">
        <f t="shared" si="10"/>
        <v>43.832045303131245</v>
      </c>
    </row>
    <row r="16" spans="1:29" x14ac:dyDescent="0.3">
      <c r="A16" s="2">
        <v>4</v>
      </c>
      <c r="B16" s="88" t="s">
        <v>363</v>
      </c>
      <c r="C16" s="2" t="str">
        <f t="shared" si="3"/>
        <v>Nike</v>
      </c>
      <c r="D16" s="2">
        <f t="shared" si="3"/>
        <v>78.06</v>
      </c>
      <c r="E16" s="92">
        <f t="shared" si="3"/>
        <v>1487.6</v>
      </c>
      <c r="F16" s="92">
        <f t="shared" si="3"/>
        <v>115287.09</v>
      </c>
      <c r="G16" s="92">
        <f t="shared" si="3"/>
        <v>114937.33</v>
      </c>
      <c r="H16" s="92"/>
      <c r="I16" s="97">
        <f t="shared" si="4"/>
        <v>46792</v>
      </c>
      <c r="J16" s="97">
        <f t="shared" si="4"/>
        <v>51191</v>
      </c>
      <c r="K16" s="97">
        <f t="shared" si="4"/>
        <v>51386</v>
      </c>
      <c r="L16" s="97">
        <f t="shared" si="4"/>
        <v>6016</v>
      </c>
      <c r="M16" s="97">
        <f t="shared" si="4"/>
        <v>6839</v>
      </c>
      <c r="N16" s="97">
        <f t="shared" si="4"/>
        <v>5070</v>
      </c>
      <c r="O16" s="97">
        <f t="shared" si="4"/>
        <v>5700</v>
      </c>
      <c r="P16" s="96"/>
      <c r="Q16" s="100">
        <f t="shared" si="11"/>
        <v>9.4011796888356924E-2</v>
      </c>
      <c r="R16" s="100">
        <f t="shared" si="5"/>
        <v>3.8092633470727666E-3</v>
      </c>
      <c r="S16" s="100">
        <f t="shared" si="6"/>
        <v>0.11752065792815143</v>
      </c>
      <c r="T16" s="100">
        <f t="shared" si="7"/>
        <v>0.13309072510022185</v>
      </c>
      <c r="U16" s="100">
        <f t="shared" si="8"/>
        <v>9.9040847023890918E-2</v>
      </c>
      <c r="V16" s="100">
        <f t="shared" si="9"/>
        <v>0.11092515471139999</v>
      </c>
      <c r="W16" s="101"/>
      <c r="X16" s="102">
        <f t="shared" si="10"/>
        <v>2.2520968529624348</v>
      </c>
      <c r="Y16" s="102">
        <f t="shared" si="10"/>
        <v>2.2435505779784375</v>
      </c>
      <c r="Z16" s="102">
        <f t="shared" si="10"/>
        <v>19.16341256648936</v>
      </c>
      <c r="AA16" s="102">
        <f t="shared" si="10"/>
        <v>16.857302237169176</v>
      </c>
      <c r="AB16" s="102">
        <f t="shared" si="10"/>
        <v>22.739071005917157</v>
      </c>
      <c r="AC16" s="102">
        <f t="shared" si="10"/>
        <v>20.225805263157895</v>
      </c>
    </row>
    <row r="17" spans="1:29" x14ac:dyDescent="0.3">
      <c r="A17" s="2">
        <v>5</v>
      </c>
      <c r="B17" s="88" t="s">
        <v>365</v>
      </c>
      <c r="C17" s="2" t="str">
        <f t="shared" si="3"/>
        <v>Adidas</v>
      </c>
      <c r="D17" s="2">
        <f t="shared" si="3"/>
        <v>194.69</v>
      </c>
      <c r="E17" s="92">
        <f t="shared" si="3"/>
        <v>178.56</v>
      </c>
      <c r="F17" s="92">
        <f t="shared" si="3"/>
        <v>34895.199999999997</v>
      </c>
      <c r="G17" s="92">
        <f t="shared" si="3"/>
        <v>37627.199999999997</v>
      </c>
      <c r="H17" s="92"/>
      <c r="I17" s="97">
        <f t="shared" si="4"/>
        <v>23658</v>
      </c>
      <c r="J17" s="97">
        <f t="shared" si="4"/>
        <v>23165</v>
      </c>
      <c r="K17" s="97">
        <f t="shared" si="4"/>
        <v>25618</v>
      </c>
      <c r="L17" s="97">
        <f t="shared" si="4"/>
        <v>1463</v>
      </c>
      <c r="M17" s="97">
        <f t="shared" si="4"/>
        <v>2618</v>
      </c>
      <c r="N17" s="97">
        <f t="shared" si="4"/>
        <v>-129</v>
      </c>
      <c r="O17" s="97">
        <f t="shared" si="4"/>
        <v>818</v>
      </c>
      <c r="P17" s="96"/>
      <c r="Q17" s="100">
        <f t="shared" si="11"/>
        <v>-2.0838616958322786E-2</v>
      </c>
      <c r="R17" s="100">
        <f t="shared" si="5"/>
        <v>0.1058925102525361</v>
      </c>
      <c r="S17" s="100">
        <f t="shared" si="6"/>
        <v>6.3155622706669551E-2</v>
      </c>
      <c r="T17" s="100">
        <f t="shared" si="7"/>
        <v>0.10219377000546491</v>
      </c>
      <c r="U17" s="100">
        <f t="shared" si="8"/>
        <v>-5.5687459529462548E-3</v>
      </c>
      <c r="V17" s="100">
        <f t="shared" si="9"/>
        <v>3.1930673745023029E-2</v>
      </c>
      <c r="W17" s="101"/>
      <c r="X17" s="102">
        <f t="shared" si="10"/>
        <v>1.506375998273257</v>
      </c>
      <c r="Y17" s="102">
        <f t="shared" si="10"/>
        <v>1.3621359981263172</v>
      </c>
      <c r="Z17" s="102">
        <f t="shared" si="10"/>
        <v>23.851811346548185</v>
      </c>
      <c r="AA17" s="102">
        <f t="shared" si="10"/>
        <v>13.328953399541634</v>
      </c>
      <c r="AB17" s="102">
        <f t="shared" si="10"/>
        <v>-270.50542635658911</v>
      </c>
      <c r="AC17" s="102">
        <f t="shared" si="10"/>
        <v>42.659168704156478</v>
      </c>
    </row>
    <row r="18" spans="1:29" x14ac:dyDescent="0.3">
      <c r="A18" s="2">
        <v>6</v>
      </c>
      <c r="B18" s="88" t="s">
        <v>364</v>
      </c>
      <c r="C18" s="2" t="str">
        <f t="shared" si="3"/>
        <v>Ralph Lauren Corporation</v>
      </c>
      <c r="D18" s="2">
        <f t="shared" si="3"/>
        <v>294.64</v>
      </c>
      <c r="E18" s="92">
        <f t="shared" si="3"/>
        <v>64</v>
      </c>
      <c r="F18" s="92">
        <f t="shared" si="3"/>
        <v>17765.87</v>
      </c>
      <c r="G18" s="92">
        <f t="shared" si="3"/>
        <v>17498.34</v>
      </c>
      <c r="H18" s="92"/>
      <c r="I18" s="97">
        <f t="shared" si="4"/>
        <v>6219</v>
      </c>
      <c r="J18" s="97">
        <f t="shared" si="4"/>
        <v>6444</v>
      </c>
      <c r="K18" s="97">
        <f t="shared" si="4"/>
        <v>6631</v>
      </c>
      <c r="L18" s="97">
        <f t="shared" si="4"/>
        <v>967</v>
      </c>
      <c r="M18" s="97">
        <f t="shared" si="4"/>
        <v>1045</v>
      </c>
      <c r="N18" s="97">
        <f t="shared" si="4"/>
        <v>523</v>
      </c>
      <c r="O18" s="97">
        <f t="shared" si="4"/>
        <v>646</v>
      </c>
      <c r="P18" s="96"/>
      <c r="Q18" s="100">
        <f t="shared" si="11"/>
        <v>3.6179450072358899E-2</v>
      </c>
      <c r="R18" s="100">
        <f t="shared" si="5"/>
        <v>2.9019242706393555E-2</v>
      </c>
      <c r="S18" s="100">
        <f t="shared" si="6"/>
        <v>0.15006207324643078</v>
      </c>
      <c r="T18" s="100">
        <f t="shared" si="7"/>
        <v>0.15759312320916904</v>
      </c>
      <c r="U18" s="100">
        <f t="shared" si="8"/>
        <v>8.1160769708255739E-2</v>
      </c>
      <c r="V18" s="100">
        <f t="shared" si="9"/>
        <v>9.7421203438395415E-2</v>
      </c>
      <c r="W18" s="101"/>
      <c r="X18" s="102">
        <f t="shared" si="10"/>
        <v>2.7569630664183737</v>
      </c>
      <c r="Y18" s="102">
        <f t="shared" si="10"/>
        <v>2.6792142964862009</v>
      </c>
      <c r="Z18" s="102">
        <f t="shared" si="10"/>
        <v>18.372150982419853</v>
      </c>
      <c r="AA18" s="102">
        <f t="shared" si="10"/>
        <v>17.000832535885166</v>
      </c>
      <c r="AB18" s="102">
        <f t="shared" si="10"/>
        <v>33.969158699808794</v>
      </c>
      <c r="AC18" s="102">
        <f t="shared" si="10"/>
        <v>27.501346749226006</v>
      </c>
    </row>
    <row r="19" spans="1:29" x14ac:dyDescent="0.3">
      <c r="A19" s="2">
        <v>7</v>
      </c>
      <c r="B19" s="88" t="s">
        <v>366</v>
      </c>
      <c r="C19" s="2" t="str">
        <f t="shared" si="3"/>
        <v>Dick's Sporting Goods</v>
      </c>
      <c r="D19" s="2">
        <f t="shared" si="3"/>
        <v>226.01</v>
      </c>
      <c r="E19" s="92">
        <f t="shared" si="3"/>
        <v>82.93</v>
      </c>
      <c r="F19" s="92">
        <f t="shared" si="3"/>
        <v>18165.96</v>
      </c>
      <c r="G19" s="92">
        <f t="shared" si="3"/>
        <v>19070.8</v>
      </c>
      <c r="H19" s="92"/>
      <c r="I19" s="97">
        <f t="shared" si="4"/>
        <v>12368</v>
      </c>
      <c r="J19" s="97">
        <f t="shared" si="4"/>
        <v>12984</v>
      </c>
      <c r="K19" s="97">
        <f t="shared" si="4"/>
        <v>13443</v>
      </c>
      <c r="L19" s="97">
        <f t="shared" si="4"/>
        <v>1770</v>
      </c>
      <c r="M19" s="97">
        <f t="shared" si="4"/>
        <v>1929</v>
      </c>
      <c r="N19" s="97">
        <f t="shared" si="4"/>
        <v>1047</v>
      </c>
      <c r="O19" s="97">
        <f t="shared" si="4"/>
        <v>1165</v>
      </c>
      <c r="P19" s="96"/>
      <c r="Q19" s="100">
        <f t="shared" si="11"/>
        <v>4.9805950840879687E-2</v>
      </c>
      <c r="R19" s="100">
        <f t="shared" si="5"/>
        <v>3.5351201478743155E-2</v>
      </c>
      <c r="S19" s="100">
        <f t="shared" si="6"/>
        <v>0.13632162661737524</v>
      </c>
      <c r="T19" s="100">
        <f t="shared" si="7"/>
        <v>0.14349475563490291</v>
      </c>
      <c r="U19" s="100">
        <f t="shared" si="8"/>
        <v>8.0637707948243986E-2</v>
      </c>
      <c r="V19" s="100">
        <f t="shared" si="9"/>
        <v>8.6662203377222344E-2</v>
      </c>
      <c r="W19" s="101"/>
      <c r="X19" s="102">
        <f t="shared" si="10"/>
        <v>1.3991035120147874</v>
      </c>
      <c r="Y19" s="102">
        <f t="shared" si="10"/>
        <v>1.3513322918991295</v>
      </c>
      <c r="Z19" s="102">
        <f t="shared" si="10"/>
        <v>10.263254237288136</v>
      </c>
      <c r="AA19" s="102">
        <f t="shared" si="10"/>
        <v>9.4172939346811813</v>
      </c>
      <c r="AB19" s="102">
        <f t="shared" si="10"/>
        <v>17.350487106017191</v>
      </c>
      <c r="AC19" s="102">
        <f t="shared" si="10"/>
        <v>15.593098712446352</v>
      </c>
    </row>
    <row r="20" spans="1:29" ht="3" customHeight="1" x14ac:dyDescent="0.3"/>
    <row r="21" spans="1:29" ht="18" customHeight="1" x14ac:dyDescent="0.3">
      <c r="B21" s="98" t="s">
        <v>220</v>
      </c>
      <c r="C21" s="98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103">
        <f t="shared" ref="Q21:V21" si="12">AVERAGE(Q11:Q19)</f>
        <v>4.4686333069047124E-2</v>
      </c>
      <c r="R21" s="103">
        <f t="shared" si="12"/>
        <v>3.6669143132060669E-2</v>
      </c>
      <c r="S21" s="103">
        <f t="shared" si="12"/>
        <v>0.13353729429532951</v>
      </c>
      <c r="T21" s="103">
        <f t="shared" si="12"/>
        <v>0.14317997892112924</v>
      </c>
      <c r="U21" s="103">
        <f t="shared" si="12"/>
        <v>7.0367550153947273E-2</v>
      </c>
      <c r="V21" s="103">
        <f t="shared" si="12"/>
        <v>7.5189497198191485E-2</v>
      </c>
      <c r="W21" s="103"/>
      <c r="X21" s="104">
        <f t="shared" ref="X21:AC21" si="13">AVERAGE(X11:X19)</f>
        <v>1.9361523342646638</v>
      </c>
      <c r="Y21" s="104">
        <f t="shared" si="13"/>
        <v>1.8208457373179583</v>
      </c>
      <c r="Z21" s="104">
        <f t="shared" si="13"/>
        <v>15.101171299048925</v>
      </c>
      <c r="AA21" s="104">
        <f t="shared" si="13"/>
        <v>12.515682280141494</v>
      </c>
      <c r="AB21" s="104">
        <f t="shared" si="13"/>
        <v>-5.8566366027585248</v>
      </c>
      <c r="AC21" s="104">
        <f t="shared" si="13"/>
        <v>20.759580120609719</v>
      </c>
    </row>
    <row r="22" spans="1:29" ht="17.25" customHeight="1" x14ac:dyDescent="0.3">
      <c r="B22" s="98" t="s">
        <v>221</v>
      </c>
      <c r="C22" s="98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103">
        <f t="shared" ref="Q22:V22" si="14">MEDIAN(Q11:Q19)</f>
        <v>3.5056629099857628E-2</v>
      </c>
      <c r="R22" s="103">
        <f t="shared" si="14"/>
        <v>3.2185222092568355E-2</v>
      </c>
      <c r="S22" s="103">
        <f t="shared" si="14"/>
        <v>0.13139568569182497</v>
      </c>
      <c r="T22" s="103">
        <f t="shared" si="14"/>
        <v>0.13829274036756239</v>
      </c>
      <c r="U22" s="103">
        <f t="shared" si="14"/>
        <v>7.6309677031191098E-2</v>
      </c>
      <c r="V22" s="103">
        <f t="shared" si="14"/>
        <v>8.1277304540264522E-2</v>
      </c>
      <c r="W22" s="103"/>
      <c r="X22" s="104">
        <f t="shared" ref="X22:AC22" si="15">MEDIAN(X11:X19)</f>
        <v>1.879236425617846</v>
      </c>
      <c r="Y22" s="104">
        <f t="shared" si="15"/>
        <v>1.8028432880523773</v>
      </c>
      <c r="Z22" s="104">
        <f t="shared" si="15"/>
        <v>14.317702609853995</v>
      </c>
      <c r="AA22" s="104">
        <f t="shared" si="15"/>
        <v>11.373123667111408</v>
      </c>
      <c r="AB22" s="104">
        <f t="shared" si="15"/>
        <v>16.505014520750532</v>
      </c>
      <c r="AC22" s="104">
        <f t="shared" si="15"/>
        <v>17.909451987802122</v>
      </c>
    </row>
    <row r="23" spans="1:29" x14ac:dyDescent="0.3">
      <c r="B23" s="53"/>
      <c r="C23" s="53"/>
    </row>
    <row r="24" spans="1:29" ht="16.2" thickBot="1" x14ac:dyDescent="0.35">
      <c r="B24" s="90"/>
      <c r="C24" s="90"/>
      <c r="D24" s="162" t="s">
        <v>238</v>
      </c>
      <c r="E24" s="162"/>
      <c r="F24" s="162"/>
      <c r="G24" s="90"/>
      <c r="H24" s="162" t="s">
        <v>239</v>
      </c>
      <c r="I24" s="162"/>
      <c r="J24" s="162"/>
      <c r="K24" s="90"/>
      <c r="L24" s="162" t="s">
        <v>141</v>
      </c>
      <c r="M24" s="162"/>
      <c r="N24" s="162"/>
      <c r="O24" s="89"/>
      <c r="P24" s="105"/>
      <c r="Q24" s="91">
        <v>2024</v>
      </c>
      <c r="R24" s="89"/>
      <c r="S24" s="89"/>
      <c r="T24" s="162" t="s">
        <v>144</v>
      </c>
      <c r="U24" s="162"/>
      <c r="V24" s="162"/>
      <c r="W24" s="105"/>
      <c r="X24" s="162" t="s">
        <v>241</v>
      </c>
      <c r="Y24" s="162"/>
      <c r="Z24" s="162"/>
      <c r="AA24" s="89"/>
      <c r="AB24" s="89"/>
      <c r="AC24" s="89"/>
    </row>
    <row r="25" spans="1:29" x14ac:dyDescent="0.3">
      <c r="B25" s="109" t="s">
        <v>222</v>
      </c>
      <c r="C25" s="108"/>
      <c r="D25" s="108" t="s">
        <v>3</v>
      </c>
      <c r="E25" s="108" t="s">
        <v>52</v>
      </c>
      <c r="F25" s="108" t="s">
        <v>236</v>
      </c>
      <c r="G25" s="108"/>
      <c r="H25" s="108" t="s">
        <v>3</v>
      </c>
      <c r="I25" s="108" t="s">
        <v>52</v>
      </c>
      <c r="J25" s="108" t="s">
        <v>237</v>
      </c>
      <c r="K25" s="108"/>
      <c r="L25" s="108" t="s">
        <v>3</v>
      </c>
      <c r="M25" s="108" t="s">
        <v>52</v>
      </c>
      <c r="N25" s="108" t="s">
        <v>42</v>
      </c>
      <c r="O25" s="107"/>
      <c r="P25" s="108" t="s">
        <v>242</v>
      </c>
      <c r="Q25" s="108" t="s">
        <v>121</v>
      </c>
      <c r="R25" s="108" t="s">
        <v>240</v>
      </c>
      <c r="S25" s="107"/>
      <c r="T25" s="106" t="s">
        <v>3</v>
      </c>
      <c r="U25" s="106" t="s">
        <v>52</v>
      </c>
      <c r="V25" s="106" t="s">
        <v>42</v>
      </c>
      <c r="W25" s="106"/>
      <c r="X25" s="106" t="s">
        <v>3</v>
      </c>
      <c r="Y25" s="106" t="s">
        <v>52</v>
      </c>
      <c r="Z25" s="106" t="s">
        <v>42</v>
      </c>
      <c r="AA25" s="107"/>
      <c r="AB25" s="107"/>
      <c r="AC25" s="107"/>
    </row>
    <row r="26" spans="1:29" x14ac:dyDescent="0.3">
      <c r="B26" s="53" t="s">
        <v>223</v>
      </c>
      <c r="C26" s="53"/>
      <c r="D26" s="102">
        <f>MIN(Y13:Y19)</f>
        <v>0.41478126209833532</v>
      </c>
      <c r="E26" s="102">
        <f>MIN(AA13:AA19)</f>
        <v>6.9796742671009779</v>
      </c>
      <c r="F26" s="102">
        <f>MIN(AC13:AC19)</f>
        <v>-10.660497512437813</v>
      </c>
      <c r="G26" s="51"/>
      <c r="H26" s="110">
        <f>$K$11</f>
        <v>10588</v>
      </c>
      <c r="I26" s="110">
        <f>$M$11</f>
        <v>2946</v>
      </c>
      <c r="J26" s="111">
        <v>14.64</v>
      </c>
      <c r="K26" s="51"/>
      <c r="L26" s="110">
        <f>H26*D26</f>
        <v>4391.7040030971748</v>
      </c>
      <c r="M26" s="110">
        <f>I26*E26</f>
        <v>20562.120390879481</v>
      </c>
      <c r="N26" s="110"/>
      <c r="O26" s="51"/>
      <c r="P26" s="110">
        <f>DCF!$R$150</f>
        <v>1984.336</v>
      </c>
      <c r="Q26" s="110">
        <f>DCF!$R$151</f>
        <v>1575.8</v>
      </c>
      <c r="R26" s="112">
        <v>116.370231</v>
      </c>
      <c r="S26" s="51"/>
      <c r="T26" s="110">
        <f>L26+P26-Q26</f>
        <v>4800.2400030971748</v>
      </c>
      <c r="U26" s="110">
        <f>M26+P26-Q26</f>
        <v>20970.656390879481</v>
      </c>
      <c r="V26" s="110">
        <f>J26*R26*F26</f>
        <v>-18161.865130544673</v>
      </c>
      <c r="W26" s="51"/>
      <c r="X26" s="113">
        <f>T26/$R26</f>
        <v>41.249724795142626</v>
      </c>
      <c r="Y26" s="113">
        <f>U26/$R26</f>
        <v>180.20636558570965</v>
      </c>
      <c r="Z26" s="113">
        <f>V26/$R26</f>
        <v>-156.0696835820896</v>
      </c>
    </row>
    <row r="27" spans="1:29" x14ac:dyDescent="0.3">
      <c r="B27" s="53" t="s">
        <v>224</v>
      </c>
      <c r="C27" s="53"/>
      <c r="D27" s="102">
        <f>Y21</f>
        <v>1.8208457373179583</v>
      </c>
      <c r="E27" s="102">
        <f>AA21</f>
        <v>12.515682280141494</v>
      </c>
      <c r="F27" s="102">
        <f>AC21</f>
        <v>20.759580120609719</v>
      </c>
      <c r="G27" s="51"/>
      <c r="H27" s="110">
        <f t="shared" ref="H27:H29" si="16">$K$11</f>
        <v>10588</v>
      </c>
      <c r="I27" s="110">
        <f t="shared" ref="I27:I29" si="17">$M$11</f>
        <v>2946</v>
      </c>
      <c r="J27" s="111">
        <v>14.64</v>
      </c>
      <c r="K27" s="51"/>
      <c r="L27" s="110">
        <f t="shared" ref="L27:L29" si="18">H27*D27</f>
        <v>19279.114666722544</v>
      </c>
      <c r="M27" s="110">
        <f t="shared" ref="M27:M29" si="19">I27*E27</f>
        <v>36871.199997296841</v>
      </c>
      <c r="N27" s="110"/>
      <c r="O27" s="51"/>
      <c r="P27" s="110">
        <f>DCF!$R$150</f>
        <v>1984.336</v>
      </c>
      <c r="Q27" s="110">
        <f>DCF!$R$151</f>
        <v>1575.8</v>
      </c>
      <c r="R27" s="112">
        <v>116.370231</v>
      </c>
      <c r="S27" s="51"/>
      <c r="T27" s="110">
        <f>L27+P27-Q27</f>
        <v>19687.650666722544</v>
      </c>
      <c r="U27" s="110">
        <f>M27+P27-Q27</f>
        <v>37279.735997296841</v>
      </c>
      <c r="V27" s="110">
        <f t="shared" ref="V27:V29" si="20">J27*R27*F27</f>
        <v>35367.270043200006</v>
      </c>
      <c r="W27" s="51"/>
      <c r="X27" s="113">
        <f>T27/$R27</f>
        <v>169.18115997142382</v>
      </c>
      <c r="Y27" s="113">
        <f t="shared" ref="Y27:Y28" si="21">U27/$R27</f>
        <v>320.35457588201263</v>
      </c>
      <c r="Z27" s="113">
        <f t="shared" ref="Z27:Z28" si="22">V27/$R27</f>
        <v>303.92025296572632</v>
      </c>
    </row>
    <row r="28" spans="1:29" x14ac:dyDescent="0.3">
      <c r="B28" s="53" t="s">
        <v>221</v>
      </c>
      <c r="C28" s="53"/>
      <c r="D28" s="102">
        <f>Y22</f>
        <v>1.8028432880523773</v>
      </c>
      <c r="E28" s="102">
        <f>AA22</f>
        <v>11.373123667111408</v>
      </c>
      <c r="F28" s="102">
        <f>AC22</f>
        <v>17.909451987802122</v>
      </c>
      <c r="G28" s="51"/>
      <c r="H28" s="110">
        <f t="shared" si="16"/>
        <v>10588</v>
      </c>
      <c r="I28" s="110">
        <f t="shared" si="17"/>
        <v>2946</v>
      </c>
      <c r="J28" s="111">
        <v>14.64</v>
      </c>
      <c r="K28" s="51"/>
      <c r="L28" s="110">
        <f t="shared" si="18"/>
        <v>19088.504733898571</v>
      </c>
      <c r="M28" s="110">
        <f t="shared" si="19"/>
        <v>33505.222323310205</v>
      </c>
      <c r="N28" s="110"/>
      <c r="O28" s="51"/>
      <c r="P28" s="110">
        <f>DCF!$R$150</f>
        <v>1984.336</v>
      </c>
      <c r="Q28" s="110">
        <f>DCF!$R$151</f>
        <v>1575.8</v>
      </c>
      <c r="R28" s="112">
        <v>116.370231</v>
      </c>
      <c r="S28" s="51"/>
      <c r="T28" s="110">
        <f t="shared" ref="T28" si="23">L28+P28-Q28</f>
        <v>19497.040733898571</v>
      </c>
      <c r="U28" s="110">
        <f t="shared" ref="U28" si="24">M28+P28-Q28</f>
        <v>33913.758323310205</v>
      </c>
      <c r="V28" s="110">
        <f t="shared" si="20"/>
        <v>30511.620230193716</v>
      </c>
      <c r="W28" s="51"/>
      <c r="X28" s="113">
        <f>T28/$R28</f>
        <v>167.54319868883454</v>
      </c>
      <c r="Y28" s="113">
        <f t="shared" si="21"/>
        <v>291.42984448754942</v>
      </c>
      <c r="Z28" s="113">
        <f t="shared" si="22"/>
        <v>262.19437710142307</v>
      </c>
    </row>
    <row r="29" spans="1:29" x14ac:dyDescent="0.3">
      <c r="B29" s="53" t="s">
        <v>225</v>
      </c>
      <c r="C29" s="53"/>
      <c r="D29" s="102">
        <f>MAX(Y13:Y19)</f>
        <v>3.3265193649509555</v>
      </c>
      <c r="E29" s="102">
        <f>MAX(AA13:AA19)</f>
        <v>18.916589994249566</v>
      </c>
      <c r="F29" s="102">
        <f>MAX(AC13:AC19)</f>
        <v>43.832045303131245</v>
      </c>
      <c r="G29" s="51"/>
      <c r="H29" s="110">
        <f t="shared" si="16"/>
        <v>10588</v>
      </c>
      <c r="I29" s="110">
        <f t="shared" si="17"/>
        <v>2946</v>
      </c>
      <c r="J29" s="111">
        <v>14.64</v>
      </c>
      <c r="K29" s="51"/>
      <c r="L29" s="110">
        <f t="shared" si="18"/>
        <v>35221.187036100717</v>
      </c>
      <c r="M29" s="110">
        <f t="shared" si="19"/>
        <v>55728.274123059222</v>
      </c>
      <c r="N29" s="110"/>
      <c r="O29" s="51"/>
      <c r="P29" s="110">
        <f>DCF!$R$150</f>
        <v>1984.336</v>
      </c>
      <c r="Q29" s="110">
        <f>DCF!$R$151</f>
        <v>1575.8</v>
      </c>
      <c r="R29" s="112">
        <v>116.370231</v>
      </c>
      <c r="S29" s="51"/>
      <c r="T29" s="110">
        <f>L29+P29-Q29</f>
        <v>35629.723036100717</v>
      </c>
      <c r="U29" s="110">
        <f>M29+P29-Q29</f>
        <v>56136.810123059222</v>
      </c>
      <c r="V29" s="110">
        <f t="shared" si="20"/>
        <v>74674.910271551707</v>
      </c>
      <c r="W29" s="51"/>
      <c r="X29" s="113">
        <f>T29/$R29</f>
        <v>306.17558055806143</v>
      </c>
      <c r="Y29" s="113">
        <f>U29/$R29</f>
        <v>482.39837319786039</v>
      </c>
      <c r="Z29" s="113">
        <f>V29/$R29</f>
        <v>641.70114323784151</v>
      </c>
    </row>
    <row r="31" spans="1:29" s="86" customFormat="1" x14ac:dyDescent="0.3">
      <c r="B31" s="87" t="s">
        <v>226</v>
      </c>
    </row>
    <row r="33" spans="2:15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</row>
    <row r="34" spans="2:15" ht="16.2" thickBot="1" x14ac:dyDescent="0.35">
      <c r="B34" s="90"/>
      <c r="C34" s="90"/>
      <c r="D34" s="90" t="s">
        <v>174</v>
      </c>
      <c r="E34" s="90" t="s">
        <v>214</v>
      </c>
      <c r="F34" s="90" t="s">
        <v>218</v>
      </c>
      <c r="G34" s="90" t="s">
        <v>216</v>
      </c>
      <c r="H34" s="89"/>
      <c r="I34" s="162" t="s">
        <v>3</v>
      </c>
      <c r="J34" s="162"/>
      <c r="K34" s="162"/>
      <c r="L34" s="162" t="s">
        <v>52</v>
      </c>
      <c r="M34" s="162"/>
      <c r="N34" s="162" t="s">
        <v>42</v>
      </c>
      <c r="O34" s="162"/>
    </row>
    <row r="35" spans="2:15" x14ac:dyDescent="0.3">
      <c r="B35" s="90" t="s">
        <v>136</v>
      </c>
      <c r="C35" s="90" t="s">
        <v>212</v>
      </c>
      <c r="D35" s="90" t="s">
        <v>213</v>
      </c>
      <c r="E35" s="90" t="s">
        <v>215</v>
      </c>
      <c r="F35" s="90" t="s">
        <v>219</v>
      </c>
      <c r="G35" s="90" t="s">
        <v>217</v>
      </c>
      <c r="H35" s="89"/>
      <c r="I35" s="90">
        <v>22</v>
      </c>
      <c r="J35" s="90">
        <v>23</v>
      </c>
      <c r="K35" s="90">
        <v>24</v>
      </c>
      <c r="L35" s="90">
        <v>23</v>
      </c>
      <c r="M35" s="90">
        <v>24</v>
      </c>
      <c r="N35" s="90">
        <v>23</v>
      </c>
      <c r="O35" s="90">
        <v>24</v>
      </c>
    </row>
    <row r="36" spans="2:15" x14ac:dyDescent="0.3">
      <c r="B36" s="88" t="s">
        <v>359</v>
      </c>
      <c r="C36" s="2" t="s">
        <v>351</v>
      </c>
      <c r="D36" s="2">
        <v>205.57</v>
      </c>
      <c r="E36" s="92">
        <v>116.370231</v>
      </c>
      <c r="F36" s="92">
        <v>24272.29</v>
      </c>
      <c r="G36" s="92">
        <v>23059.22</v>
      </c>
      <c r="H36" s="92"/>
      <c r="I36" s="92">
        <v>8111</v>
      </c>
      <c r="J36" s="92">
        <v>9619</v>
      </c>
      <c r="K36" s="92">
        <v>10588</v>
      </c>
      <c r="L36" s="92">
        <v>2587</v>
      </c>
      <c r="M36" s="92">
        <v>2946</v>
      </c>
      <c r="N36" s="92">
        <v>1550</v>
      </c>
      <c r="O36" s="92">
        <v>1815</v>
      </c>
    </row>
    <row r="37" spans="2:15" x14ac:dyDescent="0.3">
      <c r="B37" s="88" t="s">
        <v>360</v>
      </c>
      <c r="C37" s="2" t="s">
        <v>352</v>
      </c>
      <c r="D37" s="2">
        <v>55.18</v>
      </c>
      <c r="E37" s="92">
        <v>58.5</v>
      </c>
      <c r="F37" s="92">
        <v>3022.21</v>
      </c>
      <c r="G37" s="92">
        <v>2502.31</v>
      </c>
      <c r="H37" s="92"/>
      <c r="I37" s="92">
        <v>3464</v>
      </c>
      <c r="J37" s="92">
        <v>3487</v>
      </c>
      <c r="K37" s="92">
        <v>3370</v>
      </c>
      <c r="L37" s="92">
        <v>441</v>
      </c>
      <c r="M37" s="92">
        <v>322</v>
      </c>
      <c r="N37" s="92">
        <v>251</v>
      </c>
      <c r="O37" s="92">
        <v>223</v>
      </c>
    </row>
    <row r="38" spans="2:15" x14ac:dyDescent="0.3">
      <c r="B38" s="88" t="s">
        <v>361</v>
      </c>
      <c r="C38" s="2" t="s">
        <v>353</v>
      </c>
      <c r="D38" s="2">
        <v>5.04</v>
      </c>
      <c r="E38" s="92">
        <v>432.25</v>
      </c>
      <c r="F38" s="92">
        <v>2142.7600000000002</v>
      </c>
      <c r="G38" s="92">
        <v>2346.62</v>
      </c>
      <c r="H38" s="92"/>
      <c r="I38" s="92">
        <v>5859</v>
      </c>
      <c r="J38" s="92">
        <v>5694</v>
      </c>
      <c r="K38" s="92">
        <v>5166</v>
      </c>
      <c r="L38" s="92">
        <v>375</v>
      </c>
      <c r="M38" s="92">
        <v>307</v>
      </c>
      <c r="N38" s="92">
        <v>232</v>
      </c>
      <c r="O38" s="92">
        <v>-201</v>
      </c>
    </row>
    <row r="39" spans="2:15" x14ac:dyDescent="0.3">
      <c r="B39" s="88" t="s">
        <v>362</v>
      </c>
      <c r="C39" s="2" t="s">
        <v>354</v>
      </c>
      <c r="D39" s="2">
        <v>57.48</v>
      </c>
      <c r="E39" s="92">
        <v>116.73</v>
      </c>
      <c r="F39" s="92">
        <v>6579.19</v>
      </c>
      <c r="G39" s="92">
        <v>6722.82</v>
      </c>
      <c r="H39" s="92"/>
      <c r="I39" s="92">
        <v>1670.9</v>
      </c>
      <c r="J39" s="92">
        <v>1727.6</v>
      </c>
      <c r="K39" s="92">
        <v>1977.8</v>
      </c>
      <c r="L39" s="92">
        <v>241.8</v>
      </c>
      <c r="M39" s="92">
        <v>347.8</v>
      </c>
      <c r="N39" s="92">
        <v>58.4</v>
      </c>
      <c r="O39" s="92">
        <v>150.1</v>
      </c>
    </row>
    <row r="40" spans="2:15" x14ac:dyDescent="0.3">
      <c r="B40" s="88" t="s">
        <v>363</v>
      </c>
      <c r="C40" s="2" t="s">
        <v>355</v>
      </c>
      <c r="D40" s="2">
        <v>78.06</v>
      </c>
      <c r="E40" s="92">
        <v>1487.6</v>
      </c>
      <c r="F40" s="92">
        <v>115287.09</v>
      </c>
      <c r="G40" s="92">
        <v>114937.33</v>
      </c>
      <c r="H40" s="92"/>
      <c r="I40" s="92">
        <v>46792</v>
      </c>
      <c r="J40" s="92">
        <v>51191</v>
      </c>
      <c r="K40" s="92">
        <v>51386</v>
      </c>
      <c r="L40" s="92">
        <v>6016</v>
      </c>
      <c r="M40" s="92">
        <v>6839</v>
      </c>
      <c r="N40" s="92">
        <v>5070</v>
      </c>
      <c r="O40" s="92">
        <v>5700</v>
      </c>
    </row>
    <row r="41" spans="2:15" x14ac:dyDescent="0.3">
      <c r="B41" s="88" t="s">
        <v>365</v>
      </c>
      <c r="C41" s="2" t="s">
        <v>356</v>
      </c>
      <c r="D41" s="2">
        <v>194.69</v>
      </c>
      <c r="E41" s="92">
        <v>178.56</v>
      </c>
      <c r="F41" s="92">
        <v>34895.199999999997</v>
      </c>
      <c r="G41" s="92">
        <v>37627.199999999997</v>
      </c>
      <c r="H41" s="92"/>
      <c r="I41" s="92">
        <v>23658</v>
      </c>
      <c r="J41" s="92">
        <v>23165</v>
      </c>
      <c r="K41" s="92">
        <v>25618</v>
      </c>
      <c r="L41" s="92">
        <v>1463</v>
      </c>
      <c r="M41" s="92">
        <v>2618</v>
      </c>
      <c r="N41" s="92">
        <v>-129</v>
      </c>
      <c r="O41" s="92">
        <v>818</v>
      </c>
    </row>
    <row r="42" spans="2:15" x14ac:dyDescent="0.3">
      <c r="B42" s="88" t="s">
        <v>364</v>
      </c>
      <c r="C42" s="2" t="s">
        <v>357</v>
      </c>
      <c r="D42" s="2">
        <v>294.64</v>
      </c>
      <c r="E42" s="92">
        <v>64</v>
      </c>
      <c r="F42" s="92">
        <v>17765.87</v>
      </c>
      <c r="G42" s="92">
        <v>17498.34</v>
      </c>
      <c r="H42" s="92"/>
      <c r="I42" s="92">
        <v>6219</v>
      </c>
      <c r="J42" s="92">
        <v>6444</v>
      </c>
      <c r="K42" s="92">
        <v>6631</v>
      </c>
      <c r="L42" s="92">
        <v>967</v>
      </c>
      <c r="M42" s="92">
        <v>1045</v>
      </c>
      <c r="N42" s="92">
        <v>523</v>
      </c>
      <c r="O42" s="92">
        <v>646</v>
      </c>
    </row>
    <row r="43" spans="2:15" x14ac:dyDescent="0.3">
      <c r="B43" s="88" t="s">
        <v>366</v>
      </c>
      <c r="C43" s="2" t="s">
        <v>358</v>
      </c>
      <c r="D43" s="2">
        <v>226.01</v>
      </c>
      <c r="E43" s="92">
        <v>82.93</v>
      </c>
      <c r="F43" s="92">
        <v>18165.96</v>
      </c>
      <c r="G43" s="92">
        <v>19070.8</v>
      </c>
      <c r="H43" s="92"/>
      <c r="I43" s="92">
        <v>12368</v>
      </c>
      <c r="J43" s="92">
        <v>12984</v>
      </c>
      <c r="K43" s="92">
        <v>13443</v>
      </c>
      <c r="L43" s="92">
        <v>1770</v>
      </c>
      <c r="M43" s="92">
        <v>1929</v>
      </c>
      <c r="N43" s="92">
        <v>1047</v>
      </c>
      <c r="O43" s="92">
        <v>1165</v>
      </c>
    </row>
    <row r="44" spans="2:15" x14ac:dyDescent="0.3">
      <c r="B44" s="88" t="s">
        <v>372</v>
      </c>
      <c r="C44" s="2" t="s">
        <v>371</v>
      </c>
      <c r="D44" s="2">
        <v>22.3</v>
      </c>
      <c r="E44" s="92">
        <v>384</v>
      </c>
      <c r="F44" s="92">
        <v>8319.3799999999992</v>
      </c>
      <c r="G44" s="92">
        <v>7987.39</v>
      </c>
      <c r="H44" s="92"/>
      <c r="I44" s="92">
        <v>15616</v>
      </c>
      <c r="J44" s="92">
        <v>14889</v>
      </c>
      <c r="K44" s="92">
        <v>15086</v>
      </c>
      <c r="L44" s="92">
        <v>1144</v>
      </c>
      <c r="M44" s="92">
        <v>1600</v>
      </c>
      <c r="N44" s="92">
        <v>502</v>
      </c>
      <c r="O44" s="92">
        <v>844</v>
      </c>
    </row>
    <row r="45" spans="2:15" x14ac:dyDescent="0.3">
      <c r="B45" s="88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</row>
    <row r="46" spans="2:15" x14ac:dyDescent="0.3">
      <c r="B46" s="88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</row>
    <row r="47" spans="2:15" x14ac:dyDescent="0.3">
      <c r="B47" s="88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</row>
  </sheetData>
  <mergeCells count="18">
    <mergeCell ref="AB8:AC8"/>
    <mergeCell ref="D24:F24"/>
    <mergeCell ref="H24:J24"/>
    <mergeCell ref="L24:N24"/>
    <mergeCell ref="X24:Z24"/>
    <mergeCell ref="T24:V24"/>
    <mergeCell ref="S8:T8"/>
    <mergeCell ref="U8:V8"/>
    <mergeCell ref="I34:K34"/>
    <mergeCell ref="L34:M34"/>
    <mergeCell ref="N34:O34"/>
    <mergeCell ref="Z7:AA7"/>
    <mergeCell ref="X8:Y8"/>
    <mergeCell ref="Z8:AA8"/>
    <mergeCell ref="I8:K8"/>
    <mergeCell ref="L8:M8"/>
    <mergeCell ref="N8:O8"/>
    <mergeCell ref="Q8:R8"/>
  </mergeCells>
  <conditionalFormatting sqref="Q11:Q1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:R1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:S1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:T1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:U1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:V1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:X1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1:Y1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:Z1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:AA1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:AB1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:AC1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6330-4C4C-4C88-A181-7E0A8302D0AB}">
  <dimension ref="A1:X164"/>
  <sheetViews>
    <sheetView showGridLines="0" topLeftCell="K79" zoomScaleNormal="100" workbookViewId="0">
      <selection activeCell="U120" sqref="U120"/>
    </sheetView>
  </sheetViews>
  <sheetFormatPr defaultColWidth="9" defaultRowHeight="15.6" x14ac:dyDescent="0.3"/>
  <cols>
    <col min="1" max="1" width="2.59765625" style="2" customWidth="1"/>
    <col min="2" max="2" width="31.59765625" style="2" bestFit="1" customWidth="1"/>
    <col min="3" max="3" width="12" style="2" customWidth="1"/>
    <col min="4" max="18" width="15.5" style="2" customWidth="1"/>
    <col min="19" max="20" width="9" style="2"/>
    <col min="21" max="21" width="12.5" style="2" bestFit="1" customWidth="1"/>
    <col min="22" max="16384" width="9" style="2"/>
  </cols>
  <sheetData>
    <row r="1" spans="1:18" x14ac:dyDescent="0.3">
      <c r="B1" s="64" t="s">
        <v>370</v>
      </c>
    </row>
    <row r="2" spans="1:18" s="1" customFormat="1" x14ac:dyDescent="0.3">
      <c r="B2" s="165" t="s">
        <v>338</v>
      </c>
      <c r="C2" s="165"/>
    </row>
    <row r="3" spans="1:18" x14ac:dyDescent="0.3">
      <c r="B3" s="64"/>
      <c r="C3" s="64"/>
    </row>
    <row r="4" spans="1:18" x14ac:dyDescent="0.3">
      <c r="B4" s="64" t="s">
        <v>136</v>
      </c>
      <c r="C4" s="64" t="s">
        <v>303</v>
      </c>
      <c r="F4" s="53" t="s">
        <v>200</v>
      </c>
      <c r="I4" s="76">
        <f>'Trading Comp'!D36</f>
        <v>205.57</v>
      </c>
      <c r="K4" s="79" t="s">
        <v>203</v>
      </c>
      <c r="L4" s="2" t="s">
        <v>207</v>
      </c>
    </row>
    <row r="5" spans="1:18" x14ac:dyDescent="0.3">
      <c r="B5" s="64" t="s">
        <v>137</v>
      </c>
      <c r="C5" s="65">
        <f ca="1">TODAY()</f>
        <v>46037</v>
      </c>
      <c r="F5" s="53" t="s">
        <v>201</v>
      </c>
      <c r="I5" s="76">
        <f ca="1">R155</f>
        <v>231.9805242894754</v>
      </c>
      <c r="K5" s="80" t="s">
        <v>204</v>
      </c>
      <c r="L5" s="2" t="s">
        <v>208</v>
      </c>
    </row>
    <row r="6" spans="1:18" x14ac:dyDescent="0.3">
      <c r="B6" s="64" t="s">
        <v>138</v>
      </c>
      <c r="C6" s="65">
        <v>46022</v>
      </c>
      <c r="D6" s="67"/>
      <c r="F6" s="53" t="s">
        <v>202</v>
      </c>
      <c r="I6" s="78">
        <f ca="1">I5/I4-1</f>
        <v>0.12847460373340169</v>
      </c>
      <c r="K6" s="53" t="s">
        <v>373</v>
      </c>
      <c r="L6" s="2" t="s">
        <v>374</v>
      </c>
    </row>
    <row r="7" spans="1:18" x14ac:dyDescent="0.3">
      <c r="K7" s="81" t="s">
        <v>205</v>
      </c>
      <c r="L7" s="2" t="s">
        <v>206</v>
      </c>
    </row>
    <row r="8" spans="1:18" x14ac:dyDescent="0.3">
      <c r="K8" s="81"/>
    </row>
    <row r="9" spans="1:18" x14ac:dyDescent="0.3">
      <c r="A9" s="2" t="s">
        <v>11</v>
      </c>
      <c r="B9" s="139" t="s">
        <v>0</v>
      </c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3">
      <c r="B10" s="5" t="s">
        <v>2</v>
      </c>
      <c r="F10" s="5" t="s">
        <v>8</v>
      </c>
      <c r="J10" s="5" t="s">
        <v>9</v>
      </c>
      <c r="N10" s="5" t="s">
        <v>10</v>
      </c>
    </row>
    <row r="11" spans="1:18" x14ac:dyDescent="0.3">
      <c r="B11" s="2" t="s">
        <v>3</v>
      </c>
      <c r="D11" s="50">
        <v>2</v>
      </c>
      <c r="F11" s="2" t="s">
        <v>349</v>
      </c>
      <c r="H11" s="52">
        <v>0.8</v>
      </c>
      <c r="J11" s="2" t="s">
        <v>346</v>
      </c>
      <c r="L11" s="52">
        <v>0.08</v>
      </c>
      <c r="N11" s="2" t="s">
        <v>349</v>
      </c>
      <c r="P11" s="52">
        <v>1.2</v>
      </c>
    </row>
    <row r="12" spans="1:18" x14ac:dyDescent="0.3">
      <c r="B12" s="2" t="s">
        <v>4</v>
      </c>
      <c r="D12" s="50">
        <v>2</v>
      </c>
      <c r="F12" s="2" t="s">
        <v>350</v>
      </c>
      <c r="H12" s="52">
        <v>0.9</v>
      </c>
      <c r="J12" s="2" t="s">
        <v>347</v>
      </c>
      <c r="L12" s="52">
        <v>0.06</v>
      </c>
      <c r="N12" s="2" t="s">
        <v>350</v>
      </c>
      <c r="P12" s="52">
        <v>1.1000000000000001</v>
      </c>
    </row>
    <row r="13" spans="1:18" x14ac:dyDescent="0.3">
      <c r="B13" s="2" t="s">
        <v>5</v>
      </c>
      <c r="D13" s="50">
        <v>2</v>
      </c>
      <c r="F13" s="2" t="s">
        <v>375</v>
      </c>
      <c r="H13" s="6"/>
      <c r="J13" s="2" t="s">
        <v>348</v>
      </c>
      <c r="L13" s="52">
        <v>0.21</v>
      </c>
      <c r="N13" s="2" t="s">
        <v>375</v>
      </c>
      <c r="P13" s="6"/>
    </row>
    <row r="14" spans="1:18" x14ac:dyDescent="0.3">
      <c r="B14" s="2" t="s">
        <v>6</v>
      </c>
      <c r="D14" s="50">
        <v>2</v>
      </c>
      <c r="F14" s="2" t="s">
        <v>376</v>
      </c>
      <c r="H14" s="50"/>
      <c r="J14" s="2" t="s">
        <v>375</v>
      </c>
      <c r="L14" s="6"/>
      <c r="N14" s="2" t="s">
        <v>376</v>
      </c>
      <c r="P14" s="50"/>
    </row>
    <row r="15" spans="1:18" x14ac:dyDescent="0.3">
      <c r="B15" s="2" t="s">
        <v>377</v>
      </c>
      <c r="D15" s="50">
        <v>1</v>
      </c>
      <c r="H15" s="51"/>
      <c r="J15" s="2" t="s">
        <v>376</v>
      </c>
      <c r="L15" s="50"/>
      <c r="P15" s="51"/>
    </row>
    <row r="16" spans="1:18" x14ac:dyDescent="0.3">
      <c r="D16" s="160"/>
      <c r="H16" s="51"/>
      <c r="L16" s="51"/>
      <c r="P16" s="51"/>
    </row>
    <row r="17" spans="1:24" x14ac:dyDescent="0.3">
      <c r="D17" s="51"/>
      <c r="F17" s="2" t="s">
        <v>5</v>
      </c>
      <c r="H17" s="62">
        <f>L17+0.5%</f>
        <v>8.9126281633890997E-2</v>
      </c>
      <c r="J17" s="2" t="s">
        <v>5</v>
      </c>
      <c r="L17" s="62">
        <f>WACC!F21</f>
        <v>8.4126281633890992E-2</v>
      </c>
      <c r="N17" s="2" t="s">
        <v>5</v>
      </c>
      <c r="P17" s="63">
        <f>L17-0.5%</f>
        <v>7.9126281633890988E-2</v>
      </c>
    </row>
    <row r="18" spans="1:24" x14ac:dyDescent="0.3">
      <c r="B18" s="2" t="s">
        <v>5</v>
      </c>
      <c r="D18" s="62">
        <f>CHOOSE($D$13,H17,L17,P17)</f>
        <v>8.4126281633890992E-2</v>
      </c>
      <c r="F18" s="2" t="s">
        <v>6</v>
      </c>
      <c r="H18" s="52">
        <v>0.02</v>
      </c>
      <c r="J18" s="2" t="s">
        <v>6</v>
      </c>
      <c r="L18" s="62">
        <v>2.5000000000000001E-2</v>
      </c>
      <c r="N18" s="2" t="s">
        <v>6</v>
      </c>
      <c r="P18" s="52">
        <v>0.03</v>
      </c>
    </row>
    <row r="19" spans="1:24" x14ac:dyDescent="0.3">
      <c r="B19" s="2" t="s">
        <v>7</v>
      </c>
      <c r="D19" s="52">
        <f>CHOOSE(D14,H18,L18,P18)</f>
        <v>2.5000000000000001E-2</v>
      </c>
      <c r="J19" s="2" t="s">
        <v>14</v>
      </c>
      <c r="L19" s="52">
        <f>N128</f>
        <v>0.29833565713145871</v>
      </c>
    </row>
    <row r="20" spans="1:24" ht="14.25" customHeight="1" x14ac:dyDescent="0.3"/>
    <row r="21" spans="1:24" x14ac:dyDescent="0.3">
      <c r="A21" s="2" t="s">
        <v>11</v>
      </c>
      <c r="B21" s="139" t="s">
        <v>273</v>
      </c>
      <c r="C21" s="139"/>
      <c r="D21" s="139">
        <v>2015</v>
      </c>
      <c r="E21" s="139">
        <v>2016</v>
      </c>
      <c r="F21" s="139">
        <v>2017</v>
      </c>
      <c r="G21" s="139">
        <v>2018</v>
      </c>
      <c r="H21" s="139">
        <v>2019</v>
      </c>
      <c r="I21" s="139">
        <v>2020</v>
      </c>
      <c r="J21" s="139">
        <v>2021</v>
      </c>
      <c r="K21" s="139">
        <v>2022</v>
      </c>
      <c r="L21" s="139">
        <v>2023</v>
      </c>
      <c r="M21" s="139">
        <v>2024</v>
      </c>
      <c r="N21" s="140" t="s">
        <v>54</v>
      </c>
      <c r="O21" s="140" t="s">
        <v>55</v>
      </c>
      <c r="P21" s="140" t="s">
        <v>56</v>
      </c>
      <c r="Q21" s="140" t="s">
        <v>57</v>
      </c>
      <c r="R21" s="140" t="s">
        <v>58</v>
      </c>
      <c r="S21" s="7"/>
      <c r="T21" s="7"/>
      <c r="U21" s="7"/>
      <c r="V21" s="7"/>
      <c r="W21" s="7"/>
      <c r="X21" s="7"/>
    </row>
    <row r="22" spans="1:24" ht="3" customHeight="1" x14ac:dyDescent="0.3">
      <c r="H22" s="2">
        <v>67</v>
      </c>
    </row>
    <row r="23" spans="1:24" x14ac:dyDescent="0.3">
      <c r="B23" s="2" t="s">
        <v>332</v>
      </c>
      <c r="D23" s="36">
        <v>1516.3230000000001</v>
      </c>
      <c r="E23" s="36">
        <v>1704.357</v>
      </c>
      <c r="F23" s="36">
        <v>1837.0650000000001</v>
      </c>
      <c r="G23" s="36">
        <v>2126.3629999999998</v>
      </c>
      <c r="H23" s="36">
        <v>2501.067</v>
      </c>
      <c r="I23" s="36">
        <v>1658.807</v>
      </c>
      <c r="J23" s="36">
        <v>2821.4969999999998</v>
      </c>
      <c r="K23" s="36">
        <v>3648.127</v>
      </c>
      <c r="L23" s="36">
        <f>L38*L25</f>
        <v>4096.544970887564</v>
      </c>
      <c r="M23" s="36">
        <f>M38*M25</f>
        <v>4509.1465613556293</v>
      </c>
      <c r="N23" s="48">
        <f>N38*N25</f>
        <v>4780.711664034412</v>
      </c>
      <c r="O23" s="48">
        <f t="shared" ref="O23:Q23" si="0">O38*O25</f>
        <v>5110.844721986583</v>
      </c>
      <c r="P23" s="48">
        <f t="shared" si="0"/>
        <v>5422.3673379463517</v>
      </c>
      <c r="Q23" s="48">
        <f t="shared" si="0"/>
        <v>5603.8723809019957</v>
      </c>
      <c r="R23" s="48">
        <f>R38*R25</f>
        <v>6091.6192736685343</v>
      </c>
    </row>
    <row r="24" spans="1:24" x14ac:dyDescent="0.3">
      <c r="B24" s="44" t="s">
        <v>12</v>
      </c>
      <c r="E24" s="56">
        <f t="shared" ref="E24:O24" si="1">E23/D23-1</f>
        <v>0.1240065606074694</v>
      </c>
      <c r="F24" s="56">
        <f t="shared" si="1"/>
        <v>7.7863968640373038E-2</v>
      </c>
      <c r="G24" s="56">
        <f t="shared" si="1"/>
        <v>0.15747836902885837</v>
      </c>
      <c r="H24" s="56">
        <f t="shared" si="1"/>
        <v>0.17621826564890397</v>
      </c>
      <c r="I24" s="56">
        <f t="shared" si="1"/>
        <v>-0.3367602707164582</v>
      </c>
      <c r="J24" s="56">
        <f t="shared" si="1"/>
        <v>0.70091939568617678</v>
      </c>
      <c r="K24" s="56">
        <f t="shared" si="1"/>
        <v>0.29297567922276735</v>
      </c>
      <c r="L24" s="56">
        <f t="shared" si="1"/>
        <v>0.12291731370304926</v>
      </c>
      <c r="M24" s="56">
        <f>M23/L23-1</f>
        <v>0.1007194095024595</v>
      </c>
      <c r="N24" s="56">
        <f>N23/M23-1</f>
        <v>6.0225388326508478E-2</v>
      </c>
      <c r="O24" s="56">
        <f t="shared" si="1"/>
        <v>6.905521210069665E-2</v>
      </c>
      <c r="P24" s="56">
        <f t="shared" ref="P24" si="2">P23/O23-1</f>
        <v>6.0953253895508652E-2</v>
      </c>
      <c r="Q24" s="56">
        <f t="shared" ref="Q24" si="3">Q23/P23-1</f>
        <v>3.3473394855684235E-2</v>
      </c>
      <c r="R24" s="56">
        <f>R23/Q23-1</f>
        <v>8.7037473306633473E-2</v>
      </c>
    </row>
    <row r="25" spans="1:24" x14ac:dyDescent="0.3">
      <c r="B25" s="44" t="s">
        <v>272</v>
      </c>
      <c r="D25" s="56">
        <f>D23/D35</f>
        <v>0.73589229530560929</v>
      </c>
      <c r="E25" s="56">
        <f t="shared" ref="E25:K25" si="4">E23/E35</f>
        <v>0.72699318202757901</v>
      </c>
      <c r="F25" s="56">
        <f t="shared" si="4"/>
        <v>0.69344638965778482</v>
      </c>
      <c r="G25" s="56">
        <f t="shared" si="4"/>
        <v>0.64664133862925099</v>
      </c>
      <c r="H25" s="56">
        <f t="shared" si="4"/>
        <v>0.62851996936141463</v>
      </c>
      <c r="I25" s="56">
        <f t="shared" si="4"/>
        <v>0.37684066281694706</v>
      </c>
      <c r="J25" s="56">
        <f t="shared" si="4"/>
        <v>0.45096207742938393</v>
      </c>
      <c r="K25" s="56">
        <f t="shared" si="4"/>
        <v>0.44980197319086151</v>
      </c>
      <c r="L25" s="56">
        <f>AVERAGE($I$25:$K$25)</f>
        <v>0.42586823781239752</v>
      </c>
      <c r="M25" s="56">
        <f t="shared" ref="M25" si="5">AVERAGE($I$25:$K$25)</f>
        <v>0.42586823781239752</v>
      </c>
      <c r="N25" s="56">
        <f>AVERAGE($I$25:$M$25)</f>
        <v>0.42586823781239752</v>
      </c>
      <c r="O25" s="56">
        <f t="shared" ref="O25:R25" si="6">AVERAGE($I$25:$M$25)</f>
        <v>0.42586823781239752</v>
      </c>
      <c r="P25" s="56">
        <f t="shared" si="6"/>
        <v>0.42586823781239752</v>
      </c>
      <c r="Q25" s="56">
        <f t="shared" si="6"/>
        <v>0.42586823781239752</v>
      </c>
      <c r="R25" s="56">
        <f t="shared" si="6"/>
        <v>0.42586823781239752</v>
      </c>
    </row>
    <row r="27" spans="1:24" x14ac:dyDescent="0.3">
      <c r="B27" s="2" t="s">
        <v>333</v>
      </c>
      <c r="D27" s="36">
        <v>401.52499999999998</v>
      </c>
      <c r="E27" s="36">
        <v>453.28699999999998</v>
      </c>
      <c r="F27" s="36">
        <v>577.59</v>
      </c>
      <c r="G27" s="36">
        <v>858.85599999999999</v>
      </c>
      <c r="H27" s="36">
        <v>1137.8219999999999</v>
      </c>
      <c r="I27" s="36">
        <v>2284.0680000000002</v>
      </c>
      <c r="J27" s="36">
        <v>2777.944</v>
      </c>
      <c r="K27" s="36">
        <v>3699.7910000000002</v>
      </c>
      <c r="L27" s="36">
        <f>L38*L29</f>
        <v>4550.1035585837708</v>
      </c>
      <c r="M27" s="36">
        <f t="shared" ref="M27" si="7">M38*M29</f>
        <v>5008.3873021793679</v>
      </c>
      <c r="N27" s="48">
        <f>N38*N29</f>
        <v>5310.0193723426746</v>
      </c>
      <c r="O27" s="48">
        <f t="shared" ref="O27:R27" si="8">O38*O29</f>
        <v>5676.7038863586058</v>
      </c>
      <c r="P27" s="48">
        <f t="shared" si="8"/>
        <v>6022.7174596334435</v>
      </c>
      <c r="Q27" s="48">
        <f t="shared" si="8"/>
        <v>6224.3182592639769</v>
      </c>
      <c r="R27" s="48">
        <f t="shared" si="8"/>
        <v>6766.0671936066574</v>
      </c>
      <c r="S27" s="142"/>
    </row>
    <row r="28" spans="1:24" x14ac:dyDescent="0.3">
      <c r="B28" s="44" t="s">
        <v>12</v>
      </c>
      <c r="E28" s="56">
        <f>E27/D27-1</f>
        <v>0.1289135172156155</v>
      </c>
      <c r="F28" s="56">
        <f t="shared" ref="F28:O28" si="9">F27/E27-1</f>
        <v>0.27422582160970888</v>
      </c>
      <c r="G28" s="56">
        <f t="shared" si="9"/>
        <v>0.4869648020221955</v>
      </c>
      <c r="H28" s="56">
        <f t="shared" si="9"/>
        <v>0.3248111441266055</v>
      </c>
      <c r="I28" s="56">
        <f t="shared" si="9"/>
        <v>1.0074036184921722</v>
      </c>
      <c r="J28" s="56">
        <f t="shared" si="9"/>
        <v>0.21622648712735337</v>
      </c>
      <c r="K28" s="56">
        <f t="shared" si="9"/>
        <v>0.33184506239146661</v>
      </c>
      <c r="L28" s="56">
        <f t="shared" si="9"/>
        <v>0.22982718715294204</v>
      </c>
      <c r="M28" s="56">
        <f t="shared" si="9"/>
        <v>0.1007194095024595</v>
      </c>
      <c r="N28" s="56">
        <f t="shared" si="9"/>
        <v>6.0225388326508478E-2</v>
      </c>
      <c r="O28" s="56">
        <f t="shared" si="9"/>
        <v>6.905521210069665E-2</v>
      </c>
      <c r="P28" s="56">
        <f t="shared" ref="P28" si="10">P27/O27-1</f>
        <v>6.0953253895508874E-2</v>
      </c>
      <c r="Q28" s="56">
        <f t="shared" ref="Q28" si="11">Q27/P27-1</f>
        <v>3.3473394855684235E-2</v>
      </c>
      <c r="R28" s="56">
        <f t="shared" ref="R28" si="12">R27/Q27-1</f>
        <v>8.7037473306633695E-2</v>
      </c>
    </row>
    <row r="29" spans="1:24" x14ac:dyDescent="0.3">
      <c r="B29" s="44" t="s">
        <v>272</v>
      </c>
      <c r="D29" s="56">
        <f>D27/D35</f>
        <v>0.19486557539032565</v>
      </c>
      <c r="E29" s="56">
        <f>E27/E35</f>
        <v>0.19334949104074745</v>
      </c>
      <c r="F29" s="56">
        <f t="shared" ref="F29:K29" si="13">F27/F35</f>
        <v>0.21802587290185158</v>
      </c>
      <c r="G29" s="56">
        <f t="shared" si="13"/>
        <v>0.26118390581935635</v>
      </c>
      <c r="H29" s="56">
        <f t="shared" si="13"/>
        <v>0.28593550215917585</v>
      </c>
      <c r="I29" s="56">
        <f t="shared" si="13"/>
        <v>0.51888477625123275</v>
      </c>
      <c r="J29" s="56">
        <f t="shared" si="13"/>
        <v>0.44400096729590444</v>
      </c>
      <c r="K29" s="56">
        <f t="shared" si="13"/>
        <v>0.45617197323278241</v>
      </c>
      <c r="L29" s="56">
        <f>AVERAGE($I$29:$K$29)</f>
        <v>0.47301923892663988</v>
      </c>
      <c r="M29" s="56">
        <f t="shared" ref="M29" si="14">AVERAGE($I$29:$K$29)</f>
        <v>0.47301923892663988</v>
      </c>
      <c r="N29" s="56">
        <f>AVERAGE($I$29:$M$29)</f>
        <v>0.47301923892663994</v>
      </c>
      <c r="O29" s="56">
        <f t="shared" ref="O29:R29" si="15">AVERAGE($I$29:$M$29)</f>
        <v>0.47301923892663994</v>
      </c>
      <c r="P29" s="56">
        <f t="shared" si="15"/>
        <v>0.47301923892663994</v>
      </c>
      <c r="Q29" s="56">
        <f t="shared" si="15"/>
        <v>0.47301923892663994</v>
      </c>
      <c r="R29" s="56">
        <f t="shared" si="15"/>
        <v>0.47301923892663994</v>
      </c>
    </row>
    <row r="30" spans="1:24" x14ac:dyDescent="0.3">
      <c r="B30" s="44"/>
      <c r="D30" s="56"/>
      <c r="E30" s="56"/>
      <c r="F30" s="56"/>
      <c r="G30" s="56"/>
      <c r="H30" s="56"/>
      <c r="I30" s="56"/>
      <c r="J30" s="56"/>
      <c r="K30" s="56"/>
      <c r="L30" s="56" t="s">
        <v>339</v>
      </c>
      <c r="M30" s="56"/>
      <c r="N30" s="56"/>
      <c r="O30" s="56"/>
      <c r="P30" s="56"/>
      <c r="Q30" s="56"/>
      <c r="R30" s="56"/>
    </row>
    <row r="31" spans="1:24" x14ac:dyDescent="0.3">
      <c r="B31" s="2" t="s">
        <v>334</v>
      </c>
      <c r="D31" s="36">
        <v>142.67500000000001</v>
      </c>
      <c r="E31" s="36">
        <v>186.74799999999999</v>
      </c>
      <c r="F31" s="36">
        <v>234.52600000000001</v>
      </c>
      <c r="G31" s="36">
        <v>303.10000000000002</v>
      </c>
      <c r="H31" s="36">
        <v>340.40699999999998</v>
      </c>
      <c r="I31" s="36">
        <v>459.00400000000002</v>
      </c>
      <c r="J31" s="36">
        <v>657.17600000000004</v>
      </c>
      <c r="K31" s="36">
        <v>762.6</v>
      </c>
      <c r="L31" s="36">
        <f>L38*L33</f>
        <v>972.62947052866593</v>
      </c>
      <c r="M31" s="36">
        <f>M38*M33</f>
        <v>1070.592136465003</v>
      </c>
      <c r="N31" s="48">
        <f>N38*N33</f>
        <v>1135.068963622914</v>
      </c>
      <c r="O31" s="48">
        <f t="shared" ref="O31:R31" si="16">O38*O33</f>
        <v>1213.4513916548124</v>
      </c>
      <c r="P31" s="48">
        <f t="shared" si="16"/>
        <v>1287.4152024202065</v>
      </c>
      <c r="Q31" s="48">
        <f t="shared" si="16"/>
        <v>1330.5093598340288</v>
      </c>
      <c r="R31" s="48">
        <f t="shared" si="16"/>
        <v>1446.3135327248092</v>
      </c>
    </row>
    <row r="32" spans="1:24" x14ac:dyDescent="0.3">
      <c r="B32" s="44" t="s">
        <v>12</v>
      </c>
      <c r="E32" s="56">
        <f>E31/D31-1</f>
        <v>0.30890485368845266</v>
      </c>
      <c r="F32" s="56">
        <f t="shared" ref="F32" si="17">F31/E31-1</f>
        <v>0.25584209737185959</v>
      </c>
      <c r="G32" s="56">
        <f t="shared" ref="G32" si="18">G31/F31-1</f>
        <v>0.29239402027920147</v>
      </c>
      <c r="H32" s="56">
        <f t="shared" ref="H32" si="19">H31/G31-1</f>
        <v>0.12308479049818533</v>
      </c>
      <c r="I32" s="56">
        <f t="shared" ref="I32" si="20">I31/H31-1</f>
        <v>0.34839765339725703</v>
      </c>
      <c r="J32" s="56">
        <f t="shared" ref="J32" si="21">J31/I31-1</f>
        <v>0.43174351421774104</v>
      </c>
      <c r="K32" s="56">
        <f t="shared" ref="K32" si="22">K31/J31-1</f>
        <v>0.16041973535247789</v>
      </c>
      <c r="L32" s="56">
        <f t="shared" ref="L32" si="23">L31/K31-1</f>
        <v>0.27541236628463928</v>
      </c>
      <c r="M32" s="56">
        <f t="shared" ref="M32" si="24">M31/L31-1</f>
        <v>0.1007194095024595</v>
      </c>
      <c r="N32" s="56">
        <f t="shared" ref="N32" si="25">N31/M31-1</f>
        <v>6.0225388326508256E-2</v>
      </c>
      <c r="O32" s="56">
        <f t="shared" ref="O32" si="26">O31/N31-1</f>
        <v>6.905521210069665E-2</v>
      </c>
      <c r="P32" s="56">
        <f t="shared" ref="P32" si="27">P31/O31-1</f>
        <v>6.0953253895508652E-2</v>
      </c>
      <c r="Q32" s="56">
        <f t="shared" ref="Q32" si="28">Q31/P31-1</f>
        <v>3.3473394855684235E-2</v>
      </c>
      <c r="R32" s="56">
        <f t="shared" ref="R32" si="29">R31/Q31-1</f>
        <v>8.7037473306633473E-2</v>
      </c>
    </row>
    <row r="33" spans="2:18" x14ac:dyDescent="0.3">
      <c r="B33" s="44" t="s">
        <v>272</v>
      </c>
      <c r="D33" s="56">
        <f>D31/D35</f>
        <v>6.9242129304065037E-2</v>
      </c>
      <c r="E33" s="56">
        <f t="shared" ref="E33:K33" si="30">E31/E35</f>
        <v>7.9657326931673544E-2</v>
      </c>
      <c r="F33" s="56">
        <f t="shared" si="30"/>
        <v>8.8527737440363644E-2</v>
      </c>
      <c r="G33" s="56">
        <f t="shared" si="30"/>
        <v>9.2174755551392679E-2</v>
      </c>
      <c r="H33" s="56">
        <f t="shared" si="30"/>
        <v>8.554452847940941E-2</v>
      </c>
      <c r="I33" s="56">
        <f t="shared" si="30"/>
        <v>0.10427456093182026</v>
      </c>
      <c r="J33" s="56">
        <f t="shared" si="30"/>
        <v>0.10503695527471156</v>
      </c>
      <c r="K33" s="56">
        <f t="shared" si="30"/>
        <v>9.4026053576356045E-2</v>
      </c>
      <c r="L33" s="56">
        <f>AVERAGE($I$33:$K$33)</f>
        <v>0.10111252326096261</v>
      </c>
      <c r="M33" s="56">
        <f t="shared" ref="M33" si="31">AVERAGE($I$33:$K$33)</f>
        <v>0.10111252326096261</v>
      </c>
      <c r="N33" s="56">
        <f>AVERAGE($I$33:$M$33)</f>
        <v>0.10111252326096261</v>
      </c>
      <c r="O33" s="56">
        <f t="shared" ref="O33:R33" si="32">AVERAGE($I$33:$M$33)</f>
        <v>0.10111252326096261</v>
      </c>
      <c r="P33" s="56">
        <f t="shared" si="32"/>
        <v>0.10111252326096261</v>
      </c>
      <c r="Q33" s="56">
        <f t="shared" si="32"/>
        <v>0.10111252326096261</v>
      </c>
      <c r="R33" s="56">
        <f t="shared" si="32"/>
        <v>0.10111252326096261</v>
      </c>
    </row>
    <row r="34" spans="2:18" x14ac:dyDescent="0.3">
      <c r="Q34" s="142"/>
    </row>
    <row r="35" spans="2:18" x14ac:dyDescent="0.3">
      <c r="B35" s="68" t="s">
        <v>245</v>
      </c>
      <c r="C35" s="69"/>
      <c r="D35" s="70">
        <f>SUM(D23,D27,D31)</f>
        <v>2060.5230000000001</v>
      </c>
      <c r="E35" s="70">
        <f t="shared" ref="E35:M35" si="33">SUM(E23,E27,E31)</f>
        <v>2344.3919999999998</v>
      </c>
      <c r="F35" s="70">
        <f t="shared" si="33"/>
        <v>2649.181</v>
      </c>
      <c r="G35" s="70">
        <f t="shared" si="33"/>
        <v>3288.319</v>
      </c>
      <c r="H35" s="70">
        <f t="shared" si="33"/>
        <v>3979.2960000000003</v>
      </c>
      <c r="I35" s="70">
        <f t="shared" si="33"/>
        <v>4401.8789999999999</v>
      </c>
      <c r="J35" s="70">
        <f t="shared" si="33"/>
        <v>6256.6170000000002</v>
      </c>
      <c r="K35" s="70">
        <f t="shared" si="33"/>
        <v>8110.518</v>
      </c>
      <c r="L35" s="70">
        <f>SUM(L23,L27,L31)</f>
        <v>9619.2780000000002</v>
      </c>
      <c r="M35" s="70">
        <f t="shared" si="33"/>
        <v>10588.126</v>
      </c>
      <c r="N35" s="131">
        <f>SUM(N23,N27,N31)</f>
        <v>11225.800000000001</v>
      </c>
      <c r="O35" s="131">
        <f t="shared" ref="O35:R35" si="34">SUM(O23,O27,O31)</f>
        <v>12001.000000000002</v>
      </c>
      <c r="P35" s="131">
        <f t="shared" si="34"/>
        <v>12732.500000000002</v>
      </c>
      <c r="Q35" s="131">
        <f t="shared" si="34"/>
        <v>13158.7</v>
      </c>
      <c r="R35" s="143">
        <f t="shared" si="34"/>
        <v>14304</v>
      </c>
    </row>
    <row r="36" spans="2:18" x14ac:dyDescent="0.3">
      <c r="B36" s="132" t="s">
        <v>12</v>
      </c>
      <c r="C36" s="133"/>
      <c r="D36" s="134" t="s">
        <v>98</v>
      </c>
      <c r="E36" s="135">
        <f t="shared" ref="E36:R36" si="35">E35/D35-1</f>
        <v>0.13776550904794549</v>
      </c>
      <c r="F36" s="135">
        <f>F35/E35-1</f>
        <v>0.13000769495886355</v>
      </c>
      <c r="G36" s="135">
        <f t="shared" si="35"/>
        <v>0.24125871354203432</v>
      </c>
      <c r="H36" s="135">
        <f t="shared" si="35"/>
        <v>0.21013076894303762</v>
      </c>
      <c r="I36" s="135">
        <f t="shared" si="35"/>
        <v>0.10619541748088102</v>
      </c>
      <c r="J36" s="135">
        <f t="shared" si="35"/>
        <v>0.42135142742451581</v>
      </c>
      <c r="K36" s="135">
        <f t="shared" si="35"/>
        <v>0.29631045020016411</v>
      </c>
      <c r="L36" s="135">
        <f t="shared" si="35"/>
        <v>0.18602510961691965</v>
      </c>
      <c r="M36" s="135">
        <f t="shared" si="35"/>
        <v>0.1007194095024595</v>
      </c>
      <c r="N36" s="155">
        <f t="shared" si="35"/>
        <v>6.0225388326508478E-2</v>
      </c>
      <c r="O36" s="155">
        <f t="shared" si="35"/>
        <v>6.905521210069665E-2</v>
      </c>
      <c r="P36" s="155">
        <f>P35/O35-1</f>
        <v>6.0953253895508652E-2</v>
      </c>
      <c r="Q36" s="155">
        <f t="shared" si="35"/>
        <v>3.3473394855684235E-2</v>
      </c>
      <c r="R36" s="156">
        <f t="shared" si="35"/>
        <v>8.7037473306633473E-2</v>
      </c>
    </row>
    <row r="37" spans="2:18" x14ac:dyDescent="0.3">
      <c r="B37" s="44"/>
      <c r="C37" s="44"/>
      <c r="D37" s="136"/>
      <c r="E37" s="137"/>
      <c r="F37" s="137"/>
      <c r="G37" s="137"/>
      <c r="H37" s="137"/>
      <c r="I37" s="137"/>
      <c r="J37" s="137"/>
      <c r="K37" s="137"/>
      <c r="L37" s="137"/>
      <c r="M37" s="137"/>
      <c r="N37" s="138"/>
      <c r="O37" s="138"/>
      <c r="P37" s="154"/>
      <c r="Q37" s="154"/>
      <c r="R37" s="154"/>
    </row>
    <row r="38" spans="2:18" x14ac:dyDescent="0.3">
      <c r="B38" s="44" t="s">
        <v>3</v>
      </c>
      <c r="C38" s="44"/>
      <c r="D38" s="36">
        <f>IS!B10</f>
        <v>2060.5230000000001</v>
      </c>
      <c r="E38" s="36">
        <f>IS!C10</f>
        <v>2344.3919999999998</v>
      </c>
      <c r="F38" s="36">
        <f>IS!D10</f>
        <v>2649.181</v>
      </c>
      <c r="G38" s="36">
        <f>IS!E10</f>
        <v>3288.319</v>
      </c>
      <c r="H38" s="36">
        <f>IS!F10</f>
        <v>3979.2959999999998</v>
      </c>
      <c r="I38" s="36">
        <f>IS!G10</f>
        <v>4401.8789999999999</v>
      </c>
      <c r="J38" s="36">
        <f>IS!H10</f>
        <v>6256.6170000000002</v>
      </c>
      <c r="K38" s="36">
        <f>IS!I10</f>
        <v>8110.518</v>
      </c>
      <c r="L38" s="36">
        <f>IS!J10</f>
        <v>9619.2780000000002</v>
      </c>
      <c r="M38" s="36">
        <f>IS!K10</f>
        <v>10588.126</v>
      </c>
      <c r="N38" s="48">
        <f>IS!G60</f>
        <v>11225.8</v>
      </c>
      <c r="O38" s="48">
        <f>IS!H60</f>
        <v>12001</v>
      </c>
      <c r="P38" s="48">
        <f>IS!I60</f>
        <v>12732.5</v>
      </c>
      <c r="Q38" s="48">
        <f>IS!J60</f>
        <v>13158.7</v>
      </c>
      <c r="R38" s="48">
        <f>IS!K60</f>
        <v>14304</v>
      </c>
    </row>
    <row r="39" spans="2:18" x14ac:dyDescent="0.3">
      <c r="B39" s="44" t="s">
        <v>12</v>
      </c>
      <c r="C39" s="44"/>
      <c r="D39" s="136"/>
      <c r="E39" s="137">
        <f>E38/D38-1</f>
        <v>0.13776550904794549</v>
      </c>
      <c r="F39" s="137">
        <f t="shared" ref="F39:R39" si="36">F38/E38-1</f>
        <v>0.13000769495886355</v>
      </c>
      <c r="G39" s="137">
        <f t="shared" si="36"/>
        <v>0.24125871354203432</v>
      </c>
      <c r="H39" s="137">
        <f t="shared" si="36"/>
        <v>0.21013076894303739</v>
      </c>
      <c r="I39" s="137">
        <f t="shared" si="36"/>
        <v>0.10619541748088102</v>
      </c>
      <c r="J39" s="137">
        <f t="shared" si="36"/>
        <v>0.42135142742451581</v>
      </c>
      <c r="K39" s="137">
        <f t="shared" si="36"/>
        <v>0.29631045020016411</v>
      </c>
      <c r="L39" s="137">
        <f t="shared" si="36"/>
        <v>0.18602510961691965</v>
      </c>
      <c r="M39" s="137">
        <f t="shared" si="36"/>
        <v>0.1007194095024595</v>
      </c>
      <c r="N39" s="137">
        <f t="shared" si="36"/>
        <v>6.0225388326508256E-2</v>
      </c>
      <c r="O39" s="137">
        <f>O38/N38-1</f>
        <v>6.905521210069665E-2</v>
      </c>
      <c r="P39" s="137">
        <f t="shared" si="36"/>
        <v>6.0953253895508652E-2</v>
      </c>
      <c r="Q39" s="137">
        <f t="shared" si="36"/>
        <v>3.3473394855684235E-2</v>
      </c>
      <c r="R39" s="137">
        <f t="shared" si="36"/>
        <v>8.7037473306633473E-2</v>
      </c>
    </row>
    <row r="40" spans="2:18" x14ac:dyDescent="0.3">
      <c r="B40" s="44"/>
      <c r="C40" s="44"/>
      <c r="D40" s="136"/>
      <c r="E40" s="137"/>
      <c r="F40" s="137"/>
      <c r="G40" s="137"/>
      <c r="H40" s="137"/>
      <c r="I40" s="137"/>
      <c r="J40" s="137"/>
      <c r="K40" s="137"/>
      <c r="L40" s="137"/>
      <c r="M40" s="137"/>
      <c r="N40" s="138"/>
      <c r="O40" s="138"/>
      <c r="P40" s="138"/>
      <c r="Q40" s="138"/>
      <c r="R40" s="138"/>
    </row>
    <row r="41" spans="2:18" x14ac:dyDescent="0.3">
      <c r="B41" s="139" t="s">
        <v>274</v>
      </c>
      <c r="C41" s="139"/>
      <c r="D41" s="139">
        <v>2015</v>
      </c>
      <c r="E41" s="139">
        <v>2016</v>
      </c>
      <c r="F41" s="139">
        <v>2017</v>
      </c>
      <c r="G41" s="139">
        <v>2018</v>
      </c>
      <c r="H41" s="139">
        <v>2019</v>
      </c>
      <c r="I41" s="139">
        <v>2020</v>
      </c>
      <c r="J41" s="139">
        <v>2021</v>
      </c>
      <c r="K41" s="139">
        <v>2022</v>
      </c>
      <c r="L41" s="139">
        <v>2023</v>
      </c>
      <c r="M41" s="139">
        <v>2024</v>
      </c>
      <c r="N41" s="140" t="s">
        <v>54</v>
      </c>
      <c r="O41" s="140" t="s">
        <v>55</v>
      </c>
      <c r="P41" s="140" t="s">
        <v>56</v>
      </c>
      <c r="Q41" s="140" t="s">
        <v>57</v>
      </c>
      <c r="R41" s="140" t="s">
        <v>58</v>
      </c>
    </row>
    <row r="42" spans="2:18" ht="3" customHeight="1" x14ac:dyDescent="0.3"/>
    <row r="43" spans="2:18" x14ac:dyDescent="0.3">
      <c r="B43" s="2" t="s">
        <v>332</v>
      </c>
      <c r="D43" s="92">
        <f>D55*D25</f>
        <v>262.80038471494856</v>
      </c>
      <c r="E43" s="92">
        <f t="shared" ref="E43:Q43" si="37">E55*E25</f>
        <v>312.20867600810789</v>
      </c>
      <c r="F43" s="92">
        <f t="shared" si="37"/>
        <v>343.88491875602307</v>
      </c>
      <c r="G43" s="92">
        <f t="shared" si="37"/>
        <v>455.52196450800545</v>
      </c>
      <c r="H43" s="92">
        <f>H55*H25</f>
        <v>559.77119807272436</v>
      </c>
      <c r="I43" s="92">
        <f t="shared" si="37"/>
        <v>307.43867162727554</v>
      </c>
      <c r="J43" s="92">
        <f t="shared" si="37"/>
        <v>623.73106083751009</v>
      </c>
      <c r="K43" s="92">
        <f t="shared" si="37"/>
        <v>779.81088567363997</v>
      </c>
      <c r="L43" s="92">
        <f t="shared" si="37"/>
        <v>940.16545999711241</v>
      </c>
      <c r="M43" s="92">
        <f>M55*M25</f>
        <v>1064.5756259139616</v>
      </c>
      <c r="N43" s="92">
        <f>N55*N25</f>
        <v>1042.6532066360928</v>
      </c>
      <c r="O43" s="92">
        <f t="shared" si="37"/>
        <v>1100.4392678248569</v>
      </c>
      <c r="P43" s="92">
        <f>P55*P25</f>
        <v>1131.3573018900372</v>
      </c>
      <c r="Q43" s="92">
        <f t="shared" si="37"/>
        <v>1195.9189267423967</v>
      </c>
      <c r="R43" s="92">
        <f>R55*R25</f>
        <v>1344.8918950115515</v>
      </c>
    </row>
    <row r="44" spans="2:18" x14ac:dyDescent="0.3">
      <c r="B44" s="44" t="s">
        <v>13</v>
      </c>
      <c r="D44" s="56">
        <f>D43/D23</f>
        <v>0.17331425079943294</v>
      </c>
      <c r="E44" s="56">
        <f t="shared" ref="E44:R44" si="38">E43/E23</f>
        <v>0.1831826759347413</v>
      </c>
      <c r="F44" s="56">
        <f t="shared" si="38"/>
        <v>0.18719257008109297</v>
      </c>
      <c r="G44" s="56">
        <f t="shared" si="38"/>
        <v>0.214225870421939</v>
      </c>
      <c r="H44" s="56">
        <f t="shared" si="38"/>
        <v>0.2238129558595289</v>
      </c>
      <c r="I44" s="56">
        <f t="shared" si="38"/>
        <v>0.18533721622061852</v>
      </c>
      <c r="J44" s="56">
        <f t="shared" si="38"/>
        <v>0.2210638752539911</v>
      </c>
      <c r="K44" s="56">
        <f t="shared" si="38"/>
        <v>0.21375650729090298</v>
      </c>
      <c r="L44" s="56">
        <f t="shared" si="38"/>
        <v>0.22950204786679412</v>
      </c>
      <c r="M44" s="56">
        <f t="shared" si="38"/>
        <v>0.23609248699911581</v>
      </c>
      <c r="N44" s="56">
        <f t="shared" si="38"/>
        <v>0.21809581499759481</v>
      </c>
      <c r="O44" s="56">
        <f t="shared" si="38"/>
        <v>0.21531455712023992</v>
      </c>
      <c r="P44" s="56">
        <f t="shared" si="38"/>
        <v>0.20864637738071865</v>
      </c>
      <c r="Q44" s="56">
        <f t="shared" si="38"/>
        <v>0.21340937934598403</v>
      </c>
      <c r="R44" s="56">
        <f t="shared" si="38"/>
        <v>0.22077740492170023</v>
      </c>
    </row>
    <row r="45" spans="2:18" x14ac:dyDescent="0.3">
      <c r="B45" s="44" t="s">
        <v>340</v>
      </c>
      <c r="D45" s="56">
        <f>D43/$D$55</f>
        <v>0.73589229530560929</v>
      </c>
      <c r="E45" s="56">
        <f t="shared" ref="E45:R45" si="39">E43/E55</f>
        <v>0.72699318202757912</v>
      </c>
      <c r="F45" s="56">
        <f t="shared" si="39"/>
        <v>0.69344638965778482</v>
      </c>
      <c r="G45" s="56">
        <f t="shared" si="39"/>
        <v>0.64664133862925099</v>
      </c>
      <c r="H45" s="56">
        <f t="shared" si="39"/>
        <v>0.62851996936141452</v>
      </c>
      <c r="I45" s="56">
        <f t="shared" si="39"/>
        <v>0.37684066281694706</v>
      </c>
      <c r="J45" s="56">
        <f t="shared" si="39"/>
        <v>0.45096207742938393</v>
      </c>
      <c r="K45" s="56">
        <f t="shared" si="39"/>
        <v>0.44980197319086151</v>
      </c>
      <c r="L45" s="56">
        <f t="shared" si="39"/>
        <v>0.42586823781239752</v>
      </c>
      <c r="M45" s="56">
        <f t="shared" si="39"/>
        <v>0.42586823781239752</v>
      </c>
      <c r="N45" s="56">
        <f t="shared" si="39"/>
        <v>0.42586823781239747</v>
      </c>
      <c r="O45" s="56">
        <f t="shared" si="39"/>
        <v>0.42586823781239747</v>
      </c>
      <c r="P45" s="56">
        <f t="shared" si="39"/>
        <v>0.42586823781239752</v>
      </c>
      <c r="Q45" s="56">
        <f t="shared" si="39"/>
        <v>0.42586823781239758</v>
      </c>
      <c r="R45" s="56">
        <f t="shared" si="39"/>
        <v>0.42586823781239758</v>
      </c>
    </row>
    <row r="47" spans="2:18" x14ac:dyDescent="0.3">
      <c r="B47" s="2" t="s">
        <v>333</v>
      </c>
      <c r="D47" s="92">
        <f>D55*D29</f>
        <v>69.59000455224232</v>
      </c>
      <c r="E47" s="92">
        <f t="shared" ref="E47:Q47" si="40">E55*E29</f>
        <v>83.03432562643107</v>
      </c>
      <c r="F47" s="92">
        <f t="shared" si="40"/>
        <v>108.1205565531385</v>
      </c>
      <c r="G47" s="92">
        <f>G55*G29</f>
        <v>183.98917416710484</v>
      </c>
      <c r="H47" s="92">
        <f t="shared" si="40"/>
        <v>254.6593050620009</v>
      </c>
      <c r="I47" s="92">
        <f t="shared" si="40"/>
        <v>423.3228047785957</v>
      </c>
      <c r="J47" s="92">
        <f t="shared" si="40"/>
        <v>614.10306587857303</v>
      </c>
      <c r="K47" s="92">
        <f t="shared" si="40"/>
        <v>790.85440186631729</v>
      </c>
      <c r="L47" s="92">
        <f t="shared" si="40"/>
        <v>1044.2580847009629</v>
      </c>
      <c r="M47" s="92">
        <f t="shared" si="40"/>
        <v>1182.442614026319</v>
      </c>
      <c r="N47" s="92">
        <f t="shared" si="40"/>
        <v>1158.0930026640926</v>
      </c>
      <c r="O47" s="92">
        <f>O55*O29</f>
        <v>1222.2769831940482</v>
      </c>
      <c r="P47" s="92">
        <f t="shared" si="40"/>
        <v>1256.6181799401224</v>
      </c>
      <c r="Q47" s="92">
        <f t="shared" si="40"/>
        <v>1328.3278965614011</v>
      </c>
      <c r="R47" s="92">
        <f>R55*R29</f>
        <v>1493.7947565303289</v>
      </c>
    </row>
    <row r="48" spans="2:18" x14ac:dyDescent="0.3">
      <c r="B48" s="44" t="s">
        <v>13</v>
      </c>
      <c r="D48" s="56">
        <f>D47/D27</f>
        <v>0.17331425079943297</v>
      </c>
      <c r="E48" s="56">
        <f t="shared" ref="E48:R48" si="41">E47/E27</f>
        <v>0.18318267593474127</v>
      </c>
      <c r="F48" s="56">
        <f t="shared" si="41"/>
        <v>0.18719257008109297</v>
      </c>
      <c r="G48" s="56">
        <f t="shared" si="41"/>
        <v>0.214225870421939</v>
      </c>
      <c r="H48" s="56">
        <f t="shared" si="41"/>
        <v>0.22381295585952893</v>
      </c>
      <c r="I48" s="56">
        <f t="shared" si="41"/>
        <v>0.18533721622061849</v>
      </c>
      <c r="J48" s="56">
        <f t="shared" si="41"/>
        <v>0.2210638752539911</v>
      </c>
      <c r="K48" s="56">
        <f t="shared" si="41"/>
        <v>0.21375650729090298</v>
      </c>
      <c r="L48" s="56">
        <f t="shared" si="41"/>
        <v>0.22950204786679412</v>
      </c>
      <c r="M48" s="56">
        <f t="shared" si="41"/>
        <v>0.23609248699911578</v>
      </c>
      <c r="N48" s="56">
        <f t="shared" si="41"/>
        <v>0.21809581499759484</v>
      </c>
      <c r="O48" s="56">
        <f>O47/O27</f>
        <v>0.21531455712023995</v>
      </c>
      <c r="P48" s="56">
        <f t="shared" si="41"/>
        <v>0.20864637738071862</v>
      </c>
      <c r="Q48" s="56">
        <f t="shared" si="41"/>
        <v>0.21340937934598403</v>
      </c>
      <c r="R48" s="56">
        <f t="shared" si="41"/>
        <v>0.22077740492170023</v>
      </c>
    </row>
    <row r="49" spans="2:24" x14ac:dyDescent="0.3">
      <c r="B49" s="44" t="s">
        <v>340</v>
      </c>
      <c r="D49" s="56">
        <f>D47/D$55</f>
        <v>0.19486557539032567</v>
      </c>
      <c r="E49" s="56">
        <f t="shared" ref="E49:R49" si="42">E47/E$55</f>
        <v>0.19334949104074745</v>
      </c>
      <c r="F49" s="56">
        <f t="shared" si="42"/>
        <v>0.21802587290185158</v>
      </c>
      <c r="G49" s="56">
        <f t="shared" si="42"/>
        <v>0.26118390581935635</v>
      </c>
      <c r="H49" s="56">
        <f t="shared" si="42"/>
        <v>0.28593550215917585</v>
      </c>
      <c r="I49" s="56">
        <f t="shared" si="42"/>
        <v>0.51888477625123275</v>
      </c>
      <c r="J49" s="56">
        <f t="shared" si="42"/>
        <v>0.44400096729590444</v>
      </c>
      <c r="K49" s="56">
        <f t="shared" si="42"/>
        <v>0.45617197323278241</v>
      </c>
      <c r="L49" s="56">
        <f t="shared" si="42"/>
        <v>0.47301923892663988</v>
      </c>
      <c r="M49" s="56">
        <f t="shared" si="42"/>
        <v>0.47301923892663983</v>
      </c>
      <c r="N49" s="56">
        <f t="shared" si="42"/>
        <v>0.47301923892663994</v>
      </c>
      <c r="O49" s="56">
        <f t="shared" si="42"/>
        <v>0.47301923892663994</v>
      </c>
      <c r="P49" s="56">
        <f t="shared" si="42"/>
        <v>0.47301923892663994</v>
      </c>
      <c r="Q49" s="56">
        <f t="shared" si="42"/>
        <v>0.47301923892663994</v>
      </c>
      <c r="R49" s="56">
        <f t="shared" si="42"/>
        <v>0.47301923892663994</v>
      </c>
    </row>
    <row r="50" spans="2:24" x14ac:dyDescent="0.3">
      <c r="B50" s="44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</row>
    <row r="51" spans="2:24" x14ac:dyDescent="0.3">
      <c r="B51" s="2" t="s">
        <v>334</v>
      </c>
      <c r="D51" s="92">
        <f>D55*D33</f>
        <v>24.727610732809097</v>
      </c>
      <c r="E51" s="92">
        <f t="shared" ref="E51:R51" si="43">E55*E33</f>
        <v>34.208998365461063</v>
      </c>
      <c r="F51" s="92">
        <f t="shared" si="43"/>
        <v>43.901524690838414</v>
      </c>
      <c r="G51" s="92">
        <f t="shared" si="43"/>
        <v>64.931861324889709</v>
      </c>
      <c r="H51" s="92">
        <f t="shared" si="43"/>
        <v>76.187496865274653</v>
      </c>
      <c r="I51" s="92">
        <f>I55*I33</f>
        <v>85.070523594128787</v>
      </c>
      <c r="J51" s="92">
        <f t="shared" si="43"/>
        <v>145.27787328391688</v>
      </c>
      <c r="K51" s="92">
        <f t="shared" si="43"/>
        <v>163.01071246004264</v>
      </c>
      <c r="L51" s="92">
        <f t="shared" si="43"/>
        <v>223.22045530192452</v>
      </c>
      <c r="M51" s="92">
        <f t="shared" si="43"/>
        <v>252.75876005971932</v>
      </c>
      <c r="N51" s="92">
        <f t="shared" si="43"/>
        <v>247.55379069981478</v>
      </c>
      <c r="O51" s="92">
        <f t="shared" si="43"/>
        <v>261.27374898109474</v>
      </c>
      <c r="P51" s="92">
        <f t="shared" si="43"/>
        <v>268.61451816984066</v>
      </c>
      <c r="Q51" s="92">
        <f t="shared" si="43"/>
        <v>283.94317669620261</v>
      </c>
      <c r="R51" s="92">
        <f t="shared" si="43"/>
        <v>319.31334845811989</v>
      </c>
    </row>
    <row r="52" spans="2:24" x14ac:dyDescent="0.3">
      <c r="B52" s="44" t="s">
        <v>13</v>
      </c>
      <c r="D52" s="56">
        <f>D51/D31</f>
        <v>0.17331425079943294</v>
      </c>
      <c r="E52" s="56">
        <f t="shared" ref="E52:R52" si="44">E51/E31</f>
        <v>0.18318267593474127</v>
      </c>
      <c r="F52" s="56">
        <f t="shared" si="44"/>
        <v>0.18719257008109297</v>
      </c>
      <c r="G52" s="56">
        <f t="shared" si="44"/>
        <v>0.21422587042193897</v>
      </c>
      <c r="H52" s="56">
        <f t="shared" si="44"/>
        <v>0.2238129558595289</v>
      </c>
      <c r="I52" s="56">
        <f t="shared" si="44"/>
        <v>0.18533721622061852</v>
      </c>
      <c r="J52" s="56">
        <f t="shared" si="44"/>
        <v>0.22106387525399113</v>
      </c>
      <c r="K52" s="56">
        <f t="shared" si="44"/>
        <v>0.21375650729090301</v>
      </c>
      <c r="L52" s="56">
        <f t="shared" si="44"/>
        <v>0.22950204786679412</v>
      </c>
      <c r="M52" s="56">
        <f t="shared" si="44"/>
        <v>0.23609248699911578</v>
      </c>
      <c r="N52" s="56">
        <f t="shared" si="44"/>
        <v>0.21809581499759487</v>
      </c>
      <c r="O52" s="56">
        <f t="shared" si="44"/>
        <v>0.21531455712023995</v>
      </c>
      <c r="P52" s="56">
        <f t="shared" si="44"/>
        <v>0.20864637738071862</v>
      </c>
      <c r="Q52" s="56">
        <f t="shared" si="44"/>
        <v>0.21340937934598403</v>
      </c>
      <c r="R52" s="56">
        <f t="shared" si="44"/>
        <v>0.2207774049217002</v>
      </c>
    </row>
    <row r="53" spans="2:24" x14ac:dyDescent="0.3">
      <c r="B53" s="44" t="s">
        <v>340</v>
      </c>
      <c r="D53" s="56">
        <f>D51/D$55</f>
        <v>6.9242129304065037E-2</v>
      </c>
      <c r="E53" s="56">
        <f t="shared" ref="E53:R53" si="45">E51/E$55</f>
        <v>7.9657326931673531E-2</v>
      </c>
      <c r="F53" s="56">
        <f t="shared" si="45"/>
        <v>8.8527737440363644E-2</v>
      </c>
      <c r="G53" s="56">
        <f t="shared" si="45"/>
        <v>9.2174755551392679E-2</v>
      </c>
      <c r="H53" s="56">
        <f t="shared" si="45"/>
        <v>8.554452847940941E-2</v>
      </c>
      <c r="I53" s="56">
        <f t="shared" si="45"/>
        <v>0.10427456093182026</v>
      </c>
      <c r="J53" s="56">
        <f t="shared" si="45"/>
        <v>0.10503695527471157</v>
      </c>
      <c r="K53" s="56">
        <f t="shared" si="45"/>
        <v>9.4026053576356045E-2</v>
      </c>
      <c r="L53" s="56">
        <f t="shared" si="45"/>
        <v>0.10111252326096261</v>
      </c>
      <c r="M53" s="56">
        <f t="shared" si="45"/>
        <v>0.10111252326096261</v>
      </c>
      <c r="N53" s="56">
        <f t="shared" si="45"/>
        <v>0.10111252326096261</v>
      </c>
      <c r="O53" s="56">
        <f t="shared" si="45"/>
        <v>0.10111252326096261</v>
      </c>
      <c r="P53" s="56">
        <f t="shared" si="45"/>
        <v>0.10111252326096261</v>
      </c>
      <c r="Q53" s="56">
        <f t="shared" si="45"/>
        <v>0.10111252326096262</v>
      </c>
      <c r="R53" s="56">
        <f t="shared" si="45"/>
        <v>0.10111252326096259</v>
      </c>
    </row>
    <row r="54" spans="2:24" x14ac:dyDescent="0.3">
      <c r="B54" s="44"/>
    </row>
    <row r="55" spans="2:24" x14ac:dyDescent="0.3">
      <c r="B55" s="2" t="s">
        <v>4</v>
      </c>
      <c r="D55" s="36">
        <f>IS!B19</f>
        <v>357.11799999999999</v>
      </c>
      <c r="E55" s="36">
        <f>IS!C19</f>
        <v>429.452</v>
      </c>
      <c r="F55" s="36">
        <f>IS!D19</f>
        <v>495.90699999999998</v>
      </c>
      <c r="G55" s="36">
        <f>IS!E19</f>
        <v>704.44299999999998</v>
      </c>
      <c r="H55" s="36">
        <f>IS!F19</f>
        <v>890.61800000000005</v>
      </c>
      <c r="I55" s="36">
        <f>IS!G19</f>
        <v>815.83199999999999</v>
      </c>
      <c r="J55" s="36">
        <f>IS!H19</f>
        <v>1383.1120000000001</v>
      </c>
      <c r="K55" s="36">
        <f>IS!I19</f>
        <v>1733.6759999999999</v>
      </c>
      <c r="L55" s="36">
        <f>IS!J19</f>
        <v>2207.6439999999998</v>
      </c>
      <c r="M55" s="36">
        <f>IS!K19</f>
        <v>2499.777</v>
      </c>
      <c r="N55" s="48">
        <f>IS!G66</f>
        <v>2448.3000000000002</v>
      </c>
      <c r="O55" s="48">
        <f>IS!H66</f>
        <v>2583.9899999999998</v>
      </c>
      <c r="P55" s="48">
        <f>IS!I66</f>
        <v>2656.59</v>
      </c>
      <c r="Q55" s="48">
        <f>IS!J66</f>
        <v>2808.19</v>
      </c>
      <c r="R55" s="48">
        <f>IS!K66</f>
        <v>3158</v>
      </c>
      <c r="S55" s="92"/>
    </row>
    <row r="56" spans="2:24" x14ac:dyDescent="0.3">
      <c r="B56" s="44" t="s">
        <v>13</v>
      </c>
      <c r="C56" s="44"/>
      <c r="D56" s="45">
        <f>D55/D35</f>
        <v>0.17331425079943294</v>
      </c>
      <c r="E56" s="45">
        <f t="shared" ref="E56:R56" si="46">E55/E35</f>
        <v>0.1831826759347413</v>
      </c>
      <c r="F56" s="45">
        <f t="shared" si="46"/>
        <v>0.18719257008109297</v>
      </c>
      <c r="G56" s="45">
        <f t="shared" si="46"/>
        <v>0.214225870421939</v>
      </c>
      <c r="H56" s="45">
        <f t="shared" si="46"/>
        <v>0.22381295585952893</v>
      </c>
      <c r="I56" s="45">
        <f t="shared" si="46"/>
        <v>0.18533721622061852</v>
      </c>
      <c r="J56" s="45">
        <f t="shared" si="46"/>
        <v>0.2210638752539911</v>
      </c>
      <c r="K56" s="45">
        <f t="shared" si="46"/>
        <v>0.21375650729090298</v>
      </c>
      <c r="L56" s="45">
        <f t="shared" si="46"/>
        <v>0.22950204786679412</v>
      </c>
      <c r="M56" s="45">
        <f t="shared" si="46"/>
        <v>0.23609248699911581</v>
      </c>
      <c r="N56" s="158">
        <f>N55/N35</f>
        <v>0.21809581499759481</v>
      </c>
      <c r="O56" s="158">
        <f t="shared" si="46"/>
        <v>0.21531455712023992</v>
      </c>
      <c r="P56" s="158">
        <f t="shared" si="46"/>
        <v>0.20864637738071862</v>
      </c>
      <c r="Q56" s="158">
        <f t="shared" si="46"/>
        <v>0.21340937934598403</v>
      </c>
      <c r="R56" s="158">
        <f t="shared" si="46"/>
        <v>0.22077740492170023</v>
      </c>
    </row>
    <row r="57" spans="2:24" x14ac:dyDescent="0.3">
      <c r="B57" s="44"/>
      <c r="C57" s="44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121"/>
      <c r="O57" s="121"/>
      <c r="P57" s="121"/>
      <c r="Q57" s="121"/>
      <c r="R57" s="121"/>
    </row>
    <row r="58" spans="2:24" x14ac:dyDescent="0.3">
      <c r="B58" s="139" t="s">
        <v>275</v>
      </c>
      <c r="C58" s="139"/>
      <c r="D58" s="139">
        <v>2015</v>
      </c>
      <c r="E58" s="139">
        <v>2016</v>
      </c>
      <c r="F58" s="139">
        <v>2017</v>
      </c>
      <c r="G58" s="139">
        <v>2018</v>
      </c>
      <c r="H58" s="139">
        <v>2019</v>
      </c>
      <c r="I58" s="139">
        <v>2020</v>
      </c>
      <c r="J58" s="139">
        <v>2021</v>
      </c>
      <c r="K58" s="139">
        <v>2022</v>
      </c>
      <c r="L58" s="139">
        <v>2023</v>
      </c>
      <c r="M58" s="139">
        <v>2024</v>
      </c>
      <c r="N58" s="140" t="s">
        <v>54</v>
      </c>
      <c r="O58" s="140" t="s">
        <v>55</v>
      </c>
      <c r="P58" s="140" t="s">
        <v>56</v>
      </c>
      <c r="Q58" s="140" t="s">
        <v>57</v>
      </c>
      <c r="R58" s="140" t="s">
        <v>58</v>
      </c>
    </row>
    <row r="59" spans="2:24" ht="3" customHeight="1" x14ac:dyDescent="0.3"/>
    <row r="60" spans="2:24" x14ac:dyDescent="0.3">
      <c r="B60" s="2" t="s">
        <v>14</v>
      </c>
      <c r="D60" s="36">
        <f>IS!B33</f>
        <v>102.44799999999999</v>
      </c>
      <c r="E60" s="36">
        <f>IS!C33</f>
        <v>119.348</v>
      </c>
      <c r="F60" s="36">
        <f>IS!D33</f>
        <v>201.33600000000001</v>
      </c>
      <c r="G60" s="36">
        <f>IS!E33</f>
        <v>231.44900000000001</v>
      </c>
      <c r="H60" s="36">
        <f>IS!F33</f>
        <v>251.797</v>
      </c>
      <c r="I60" s="36">
        <f>IS!G33</f>
        <v>230.43700000000001</v>
      </c>
      <c r="J60" s="36">
        <f>IS!H33</f>
        <v>358.54700000000003</v>
      </c>
      <c r="K60" s="36">
        <f>IS!I33</f>
        <v>477.77100000000002</v>
      </c>
      <c r="L60" s="36">
        <f>IS!J33</f>
        <v>625.54499999999996</v>
      </c>
      <c r="M60" s="36">
        <f>IS!K33</f>
        <v>761.46100000000001</v>
      </c>
      <c r="N60" s="48">
        <f>N55*N61</f>
        <v>730.41518935495037</v>
      </c>
      <c r="O60" s="48">
        <f t="shared" ref="O60:R60" si="47">O55*O61</f>
        <v>770.89635467111793</v>
      </c>
      <c r="P60" s="48">
        <f t="shared" si="47"/>
        <v>792.55552337886195</v>
      </c>
      <c r="Q60" s="48">
        <f t="shared" si="47"/>
        <v>837.78320899999107</v>
      </c>
      <c r="R60" s="48">
        <f t="shared" si="47"/>
        <v>942.14400522114659</v>
      </c>
    </row>
    <row r="61" spans="2:24" x14ac:dyDescent="0.3">
      <c r="B61" s="44" t="s">
        <v>282</v>
      </c>
      <c r="C61" s="44"/>
      <c r="D61" s="45">
        <f>IS!B33/IS!B32</f>
        <v>0.27801734080516693</v>
      </c>
      <c r="E61" s="45">
        <f>IS!C33/IS!C32</f>
        <v>0.28232744855451131</v>
      </c>
      <c r="F61" s="45">
        <f>IS!D33/IS!D32</f>
        <v>0.43768885951678055</v>
      </c>
      <c r="G61" s="45">
        <f>IS!E33/IS!E32</f>
        <v>0.32359175113596644</v>
      </c>
      <c r="H61" s="45">
        <f>IS!F33/IS!F32</f>
        <v>0.28058721206873688</v>
      </c>
      <c r="I61" s="45">
        <f>IS!G33/IS!G32</f>
        <v>0.28124366876182338</v>
      </c>
      <c r="J61" s="45">
        <f>IS!H33/IS!H32</f>
        <v>0.2688022586925703</v>
      </c>
      <c r="K61" s="45">
        <f>IS!I33/IS!I32</f>
        <v>0.35853324138075948</v>
      </c>
      <c r="L61" s="45">
        <f>IS!J33/IS!J32</f>
        <v>0.28750973808850799</v>
      </c>
      <c r="M61" s="45">
        <f>IS!K33/IS!K32</f>
        <v>0.29558937873363256</v>
      </c>
      <c r="N61" s="56">
        <f>AVERAGE($I$61:$M$61)</f>
        <v>0.29833565713145871</v>
      </c>
      <c r="O61" s="56">
        <f t="shared" ref="O61:R61" si="48">AVERAGE($I$61:$M$61)</f>
        <v>0.29833565713145871</v>
      </c>
      <c r="P61" s="56">
        <f t="shared" si="48"/>
        <v>0.29833565713145871</v>
      </c>
      <c r="Q61" s="56">
        <f t="shared" si="48"/>
        <v>0.29833565713145871</v>
      </c>
      <c r="R61" s="56">
        <f t="shared" si="48"/>
        <v>0.29833565713145871</v>
      </c>
    </row>
    <row r="63" spans="2:24" x14ac:dyDescent="0.3">
      <c r="B63" s="139" t="s">
        <v>59</v>
      </c>
      <c r="C63" s="139"/>
      <c r="D63" s="139">
        <v>2015</v>
      </c>
      <c r="E63" s="139">
        <v>2016</v>
      </c>
      <c r="F63" s="139">
        <v>2017</v>
      </c>
      <c r="G63" s="139">
        <v>2018</v>
      </c>
      <c r="H63" s="139">
        <v>2019</v>
      </c>
      <c r="I63" s="139">
        <v>2020</v>
      </c>
      <c r="J63" s="139">
        <v>2021</v>
      </c>
      <c r="K63" s="139">
        <v>2022</v>
      </c>
      <c r="L63" s="139">
        <v>2023</v>
      </c>
      <c r="M63" s="139">
        <v>2024</v>
      </c>
      <c r="N63" s="140" t="s">
        <v>54</v>
      </c>
      <c r="O63" s="140" t="s">
        <v>55</v>
      </c>
      <c r="P63" s="140" t="s">
        <v>56</v>
      </c>
      <c r="Q63" s="140" t="s">
        <v>57</v>
      </c>
      <c r="R63" s="140" t="s">
        <v>58</v>
      </c>
      <c r="S63" s="7"/>
      <c r="T63" s="7"/>
      <c r="U63" s="7"/>
      <c r="V63" s="7"/>
      <c r="W63" s="7"/>
      <c r="X63" s="7"/>
    </row>
    <row r="64" spans="2:24" ht="3" customHeight="1" x14ac:dyDescent="0.3"/>
    <row r="65" spans="2:23" x14ac:dyDescent="0.3">
      <c r="B65" s="2" t="s">
        <v>332</v>
      </c>
      <c r="D65" s="92">
        <f>D77*D25</f>
        <v>54.001984306411522</v>
      </c>
      <c r="E65" s="92">
        <f t="shared" ref="E65:L65" si="49">E77*E25</f>
        <v>63.755121084272595</v>
      </c>
      <c r="F65" s="92">
        <f t="shared" si="49"/>
        <v>75.055169984610345</v>
      </c>
      <c r="G65" s="92">
        <f t="shared" si="49"/>
        <v>79.20321772066518</v>
      </c>
      <c r="H65" s="92">
        <f t="shared" si="49"/>
        <v>101.77812419860196</v>
      </c>
      <c r="I65" s="92">
        <f t="shared" si="49"/>
        <v>69.895652457961717</v>
      </c>
      <c r="J65" s="92">
        <f t="shared" si="49"/>
        <v>101.10840353213246</v>
      </c>
      <c r="K65" s="92">
        <f t="shared" si="49"/>
        <v>131.24816755933466</v>
      </c>
      <c r="L65" s="92">
        <f t="shared" si="49"/>
        <v>161.56759553421864</v>
      </c>
      <c r="M65" s="92">
        <f>M77*M25</f>
        <v>190.160389020943</v>
      </c>
      <c r="N65" s="92">
        <f>N25*N77</f>
        <v>185.19478938365128</v>
      </c>
      <c r="O65" s="92">
        <f t="shared" ref="O65:R65" si="50">O25*O77</f>
        <v>197.98345484448316</v>
      </c>
      <c r="P65" s="92">
        <f t="shared" si="50"/>
        <v>210.05119063472893</v>
      </c>
      <c r="Q65" s="92">
        <f t="shared" si="50"/>
        <v>217.0823170787518</v>
      </c>
      <c r="R65" s="92">
        <f t="shared" si="50"/>
        <v>235.97661345683585</v>
      </c>
      <c r="S65" s="92"/>
      <c r="T65" s="92"/>
      <c r="U65" s="92"/>
      <c r="V65" s="92"/>
      <c r="W65" s="92"/>
    </row>
    <row r="66" spans="2:23" x14ac:dyDescent="0.3">
      <c r="B66" s="44" t="s">
        <v>341</v>
      </c>
      <c r="D66" s="56">
        <f>D65/D77</f>
        <v>0.73589229530560929</v>
      </c>
      <c r="E66" s="56">
        <f t="shared" ref="E66:M66" si="51">E65/E77</f>
        <v>0.72699318202757901</v>
      </c>
      <c r="F66" s="56">
        <f t="shared" si="51"/>
        <v>0.69344638965778482</v>
      </c>
      <c r="G66" s="56">
        <f t="shared" si="51"/>
        <v>0.64664133862925099</v>
      </c>
      <c r="H66" s="56">
        <f t="shared" si="51"/>
        <v>0.62851996936141463</v>
      </c>
      <c r="I66" s="56">
        <f t="shared" si="51"/>
        <v>0.37684066281694711</v>
      </c>
      <c r="J66" s="56">
        <f t="shared" si="51"/>
        <v>0.45096207742938399</v>
      </c>
      <c r="K66" s="56">
        <f t="shared" si="51"/>
        <v>0.44980197319086146</v>
      </c>
      <c r="L66" s="56">
        <f t="shared" si="51"/>
        <v>0.42586823781239758</v>
      </c>
      <c r="M66" s="56">
        <f t="shared" si="51"/>
        <v>0.42586823781239752</v>
      </c>
      <c r="N66" s="56">
        <f>N65/N77</f>
        <v>0.42586823781239752</v>
      </c>
      <c r="O66" s="56">
        <f t="shared" ref="O66" si="52">O65/O77</f>
        <v>0.42586823781239752</v>
      </c>
      <c r="P66" s="56">
        <f t="shared" ref="P66" si="53">P65/P77</f>
        <v>0.42586823781239752</v>
      </c>
      <c r="Q66" s="56">
        <f t="shared" ref="Q66" si="54">Q65/Q77</f>
        <v>0.42586823781239752</v>
      </c>
      <c r="R66" s="56">
        <f t="shared" ref="R66" si="55">R65/R77</f>
        <v>0.42586823781239752</v>
      </c>
    </row>
    <row r="67" spans="2:23" x14ac:dyDescent="0.3">
      <c r="B67" s="44" t="s">
        <v>335</v>
      </c>
      <c r="D67" s="56">
        <f>D65/D23</f>
        <v>3.561377378461681E-2</v>
      </c>
      <c r="E67" s="56">
        <f>E65/E23</f>
        <v>3.7407140102849692E-2</v>
      </c>
      <c r="F67" s="56">
        <f t="shared" ref="F67:M67" si="56">F65/F23</f>
        <v>4.0856023050142666E-2</v>
      </c>
      <c r="G67" s="56">
        <f t="shared" si="56"/>
        <v>3.7248211016023693E-2</v>
      </c>
      <c r="H67" s="56">
        <f t="shared" si="56"/>
        <v>4.0693881530803437E-2</v>
      </c>
      <c r="I67" s="56">
        <f t="shared" si="56"/>
        <v>4.2136096880445839E-2</v>
      </c>
      <c r="J67" s="56">
        <f t="shared" si="56"/>
        <v>3.5835020746834909E-2</v>
      </c>
      <c r="K67" s="56">
        <f t="shared" si="56"/>
        <v>3.5976863623260559E-2</v>
      </c>
      <c r="L67" s="56">
        <f t="shared" si="56"/>
        <v>3.9439966284371866E-2</v>
      </c>
      <c r="M67" s="56">
        <f t="shared" si="56"/>
        <v>4.2172146421378065E-2</v>
      </c>
      <c r="N67" s="56">
        <f>AVERAGE(D67:M67)</f>
        <v>3.8737912344072756E-2</v>
      </c>
      <c r="O67" s="56">
        <f t="shared" ref="O67:R67" si="57">AVERAGE(E67:N67)</f>
        <v>3.9050326200018345E-2</v>
      </c>
      <c r="P67" s="56">
        <f>AVERAGE(F67:O67)</f>
        <v>3.9214644809735216E-2</v>
      </c>
      <c r="Q67" s="56">
        <f t="shared" si="57"/>
        <v>3.9050506985694469E-2</v>
      </c>
      <c r="R67" s="56">
        <f t="shared" si="57"/>
        <v>3.9230736582661553E-2</v>
      </c>
    </row>
    <row r="68" spans="2:23" x14ac:dyDescent="0.3">
      <c r="N68" s="92"/>
      <c r="O68" s="92"/>
      <c r="P68" s="92"/>
      <c r="Q68" s="92"/>
      <c r="R68" s="92"/>
    </row>
    <row r="69" spans="2:23" x14ac:dyDescent="0.3">
      <c r="B69" s="2" t="s">
        <v>333</v>
      </c>
      <c r="D69" s="92">
        <f>D29*D77</f>
        <v>14.299820518868266</v>
      </c>
      <c r="E69" s="92">
        <f t="shared" ref="E69:M69" si="58">E29*E77</f>
        <v>16.956170315800428</v>
      </c>
      <c r="F69" s="92">
        <f t="shared" si="58"/>
        <v>23.598030353531904</v>
      </c>
      <c r="G69" s="92">
        <f t="shared" si="58"/>
        <v>31.990849520378042</v>
      </c>
      <c r="H69" s="92">
        <f t="shared" si="58"/>
        <v>46.302393671141822</v>
      </c>
      <c r="I69" s="92">
        <f t="shared" si="58"/>
        <v>96.241710529526159</v>
      </c>
      <c r="J69" s="92">
        <f t="shared" si="58"/>
        <v>99.547680873545545</v>
      </c>
      <c r="K69" s="92">
        <f t="shared" si="58"/>
        <v>133.10687624156682</v>
      </c>
      <c r="L69" s="92">
        <f t="shared" si="58"/>
        <v>179.45593094094434</v>
      </c>
      <c r="M69" s="92">
        <f t="shared" si="58"/>
        <v>211.21444264247896</v>
      </c>
      <c r="N69" s="92">
        <f>N77*N29</f>
        <v>205.69906499113878</v>
      </c>
      <c r="O69" s="92">
        <f t="shared" ref="O69:R69" si="59">O77*O29</f>
        <v>219.90365755301687</v>
      </c>
      <c r="P69" s="92">
        <f t="shared" si="59"/>
        <v>233.30750102439691</v>
      </c>
      <c r="Q69" s="92">
        <f t="shared" si="59"/>
        <v>241.11709512897949</v>
      </c>
      <c r="R69" s="92">
        <f t="shared" si="59"/>
        <v>262.10331786004105</v>
      </c>
      <c r="T69" s="92"/>
    </row>
    <row r="70" spans="2:23" x14ac:dyDescent="0.3">
      <c r="B70" s="44" t="s">
        <v>341</v>
      </c>
      <c r="C70" s="44"/>
      <c r="D70" s="45"/>
      <c r="E70" s="45">
        <f>E69/D69-1</f>
        <v>0.18576105856903391</v>
      </c>
      <c r="F70" s="45">
        <f t="shared" ref="F70:M70" si="60">F69/E69-1</f>
        <v>0.39170755624826015</v>
      </c>
      <c r="G70" s="45">
        <f t="shared" si="60"/>
        <v>0.35565761383936811</v>
      </c>
      <c r="H70" s="45">
        <f t="shared" si="60"/>
        <v>0.4473636794686362</v>
      </c>
      <c r="I70" s="45">
        <f t="shared" si="60"/>
        <v>1.0785471959197919</v>
      </c>
      <c r="J70" s="45">
        <f t="shared" si="60"/>
        <v>3.4350702266509936E-2</v>
      </c>
      <c r="K70" s="45">
        <f t="shared" si="60"/>
        <v>0.33711679743349521</v>
      </c>
      <c r="L70" s="45">
        <f t="shared" si="60"/>
        <v>0.34820931876773753</v>
      </c>
      <c r="M70" s="45">
        <f t="shared" si="60"/>
        <v>0.17697108997743727</v>
      </c>
      <c r="N70" s="56">
        <f>AVERAGE($E$70:$M$70)</f>
        <v>0.37285389027669663</v>
      </c>
      <c r="O70" s="56">
        <f t="shared" ref="O70:R70" si="61">AVERAGE($E$70:$M$70)</f>
        <v>0.37285389027669663</v>
      </c>
      <c r="P70" s="56">
        <f t="shared" si="61"/>
        <v>0.37285389027669663</v>
      </c>
      <c r="Q70" s="56">
        <f t="shared" si="61"/>
        <v>0.37285389027669663</v>
      </c>
      <c r="R70" s="56">
        <f t="shared" si="61"/>
        <v>0.37285389027669663</v>
      </c>
    </row>
    <row r="71" spans="2:23" x14ac:dyDescent="0.3">
      <c r="B71" s="44" t="s">
        <v>336</v>
      </c>
      <c r="D71" s="56">
        <f>D69/D27</f>
        <v>3.5613773784616817E-2</v>
      </c>
      <c r="E71" s="56">
        <f t="shared" ref="E71:L71" si="62">E69/E27</f>
        <v>3.7407140102849692E-2</v>
      </c>
      <c r="F71" s="56">
        <f t="shared" si="62"/>
        <v>4.0856023050142666E-2</v>
      </c>
      <c r="G71" s="56">
        <f t="shared" si="62"/>
        <v>3.7248211016023693E-2</v>
      </c>
      <c r="H71" s="56">
        <f t="shared" si="62"/>
        <v>4.0693881530803437E-2</v>
      </c>
      <c r="I71" s="56">
        <f t="shared" si="62"/>
        <v>4.2136096880445832E-2</v>
      </c>
      <c r="J71" s="56">
        <f t="shared" si="62"/>
        <v>3.5835020746834909E-2</v>
      </c>
      <c r="K71" s="56">
        <f t="shared" si="62"/>
        <v>3.5976863623260559E-2</v>
      </c>
      <c r="L71" s="56">
        <f t="shared" si="62"/>
        <v>3.9439966284371859E-2</v>
      </c>
      <c r="M71" s="56">
        <f>M69/M27</f>
        <v>4.2172146421378065E-2</v>
      </c>
      <c r="N71" s="56">
        <f>AVERAGE(D71:M71)</f>
        <v>3.8737912344072756E-2</v>
      </c>
      <c r="O71" s="56">
        <f t="shared" ref="O71:R71" si="63">AVERAGE(E71:N71)</f>
        <v>3.9050326200018345E-2</v>
      </c>
      <c r="P71" s="56">
        <f t="shared" si="63"/>
        <v>3.9214644809735216E-2</v>
      </c>
      <c r="Q71" s="56">
        <f t="shared" si="63"/>
        <v>3.9050506985694469E-2</v>
      </c>
      <c r="R71" s="56">
        <f t="shared" si="63"/>
        <v>3.9230736582661539E-2</v>
      </c>
      <c r="T71" s="92"/>
    </row>
    <row r="72" spans="2:23" x14ac:dyDescent="0.3">
      <c r="B72" s="44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</row>
    <row r="73" spans="2:23" x14ac:dyDescent="0.3">
      <c r="B73" s="2" t="s">
        <v>334</v>
      </c>
      <c r="D73" s="92">
        <f>D77*D33</f>
        <v>5.0811951747202047</v>
      </c>
      <c r="E73" s="92">
        <f t="shared" ref="E73:M73" si="64">E77*E33</f>
        <v>6.9857085999269755</v>
      </c>
      <c r="F73" s="92">
        <f t="shared" si="64"/>
        <v>9.5817996618577581</v>
      </c>
      <c r="G73" s="92">
        <f t="shared" si="64"/>
        <v>11.28993275895678</v>
      </c>
      <c r="H73" s="92">
        <f t="shared" si="64"/>
        <v>13.852482130256202</v>
      </c>
      <c r="I73" s="92">
        <f t="shared" si="64"/>
        <v>19.340637012512161</v>
      </c>
      <c r="J73" s="92">
        <f t="shared" si="64"/>
        <v>23.54991559432198</v>
      </c>
      <c r="K73" s="92">
        <f t="shared" si="64"/>
        <v>27.435956199098506</v>
      </c>
      <c r="L73" s="92">
        <f t="shared" si="64"/>
        <v>38.36047352483704</v>
      </c>
      <c r="M73" s="92">
        <f t="shared" si="64"/>
        <v>45.149168336578064</v>
      </c>
      <c r="N73" s="92">
        <f>N77*N33</f>
        <v>43.970202017301958</v>
      </c>
      <c r="O73" s="92">
        <f t="shared" ref="O73:R73" si="65">O77*O33</f>
        <v>47.006573643717225</v>
      </c>
      <c r="P73" s="92">
        <f t="shared" si="65"/>
        <v>49.87177726178065</v>
      </c>
      <c r="Q73" s="92">
        <f t="shared" si="65"/>
        <v>51.54115495421896</v>
      </c>
      <c r="R73" s="92">
        <f t="shared" si="65"/>
        <v>56.02716685273986</v>
      </c>
    </row>
    <row r="74" spans="2:23" x14ac:dyDescent="0.3">
      <c r="B74" s="44" t="s">
        <v>341</v>
      </c>
      <c r="D74" s="45"/>
      <c r="E74" s="45">
        <f>E73/D73-1</f>
        <v>0.37481603436176658</v>
      </c>
      <c r="F74" s="45">
        <f t="shared" ref="F74" si="66">F73/E73-1</f>
        <v>0.37162887984733861</v>
      </c>
      <c r="G74" s="45">
        <f t="shared" ref="G74" si="67">G73/F73-1</f>
        <v>0.17826850460029786</v>
      </c>
      <c r="H74" s="45">
        <f t="shared" ref="H74" si="68">H73/G73-1</f>
        <v>0.22697649543275111</v>
      </c>
      <c r="I74" s="45">
        <f t="shared" ref="I74" si="69">I73/H73-1</f>
        <v>0.3961856677128559</v>
      </c>
      <c r="J74" s="45">
        <f t="shared" ref="J74" si="70">J73/I73-1</f>
        <v>0.21763908702110912</v>
      </c>
      <c r="K74" s="45">
        <f t="shared" ref="K74" si="71">K73/J73-1</f>
        <v>0.16501293132929407</v>
      </c>
      <c r="L74" s="45">
        <f t="shared" ref="L74" si="72">L73/K73-1</f>
        <v>0.39818248893754582</v>
      </c>
      <c r="M74" s="45">
        <f t="shared" ref="M74" si="73">M73/L73-1</f>
        <v>0.17697108997743705</v>
      </c>
      <c r="N74" s="45">
        <f t="shared" ref="N74" si="74">N73/M73-1</f>
        <v>-2.6112691832707702E-2</v>
      </c>
      <c r="O74" s="45">
        <f t="shared" ref="O74" si="75">O73/N73-1</f>
        <v>6.905521210069665E-2</v>
      </c>
      <c r="P74" s="45">
        <f t="shared" ref="P74" si="76">P73/O73-1</f>
        <v>6.0953253895508652E-2</v>
      </c>
      <c r="Q74" s="45">
        <f t="shared" ref="Q74" si="77">Q73/P73-1</f>
        <v>3.3473394855684013E-2</v>
      </c>
      <c r="R74" s="45">
        <f t="shared" ref="R74" si="78">R73/Q73-1</f>
        <v>8.7037473306633695E-2</v>
      </c>
    </row>
    <row r="75" spans="2:23" x14ac:dyDescent="0.3">
      <c r="B75" s="44" t="s">
        <v>337</v>
      </c>
      <c r="D75" s="56">
        <f>D73/D31</f>
        <v>3.5613773784616817E-2</v>
      </c>
      <c r="E75" s="56">
        <f t="shared" ref="E75:L75" si="79">E73/E31</f>
        <v>3.7407140102849699E-2</v>
      </c>
      <c r="F75" s="56">
        <f t="shared" si="79"/>
        <v>4.0856023050142659E-2</v>
      </c>
      <c r="G75" s="56">
        <f t="shared" si="79"/>
        <v>3.7248211016023686E-2</v>
      </c>
      <c r="H75" s="56">
        <f t="shared" si="79"/>
        <v>4.069388153080343E-2</v>
      </c>
      <c r="I75" s="56">
        <f t="shared" si="79"/>
        <v>4.2136096880445839E-2</v>
      </c>
      <c r="J75" s="56">
        <f t="shared" si="79"/>
        <v>3.5835020746834909E-2</v>
      </c>
      <c r="K75" s="56">
        <f t="shared" si="79"/>
        <v>3.5976863623260559E-2</v>
      </c>
      <c r="L75" s="56">
        <f t="shared" si="79"/>
        <v>3.9439966284371859E-2</v>
      </c>
      <c r="M75" s="56">
        <f>M73/M31</f>
        <v>4.2172146421378058E-2</v>
      </c>
      <c r="N75" s="56">
        <f t="shared" ref="N75:R75" si="80">N73/N31</f>
        <v>3.8737912344072763E-2</v>
      </c>
      <c r="O75" s="56">
        <f t="shared" si="80"/>
        <v>3.8737912344072763E-2</v>
      </c>
      <c r="P75" s="56">
        <f t="shared" si="80"/>
        <v>3.8737912344072763E-2</v>
      </c>
      <c r="Q75" s="56">
        <f t="shared" si="80"/>
        <v>3.8737912344072749E-2</v>
      </c>
      <c r="R75" s="56">
        <f t="shared" si="80"/>
        <v>3.8737912344072756E-2</v>
      </c>
    </row>
    <row r="77" spans="2:23" x14ac:dyDescent="0.3">
      <c r="B77" s="2" t="s">
        <v>276</v>
      </c>
      <c r="D77" s="36">
        <f>CF!B12</f>
        <v>73.382999999999996</v>
      </c>
      <c r="E77" s="36">
        <f>CF!C12</f>
        <v>87.697000000000003</v>
      </c>
      <c r="F77" s="36">
        <f>CF!D12</f>
        <v>108.235</v>
      </c>
      <c r="G77" s="36">
        <f>CF!E12</f>
        <v>122.48399999999999</v>
      </c>
      <c r="H77" s="36">
        <f>CF!F12</f>
        <v>161.93299999999999</v>
      </c>
      <c r="I77" s="36">
        <f>CF!G12</f>
        <v>185.47800000000001</v>
      </c>
      <c r="J77" s="36">
        <f>CF!H12</f>
        <v>224.20599999999999</v>
      </c>
      <c r="K77" s="36">
        <f>CF!I12</f>
        <v>291.791</v>
      </c>
      <c r="L77" s="36">
        <f>CF!J12</f>
        <v>379.38400000000001</v>
      </c>
      <c r="M77" s="36">
        <f>CF!K12</f>
        <v>446.524</v>
      </c>
      <c r="N77" s="48">
        <f>N35*N$78</f>
        <v>434.86405639209198</v>
      </c>
      <c r="O77" s="48">
        <f t="shared" ref="O77:Q77" si="81">O35*O$78</f>
        <v>464.89368604121722</v>
      </c>
      <c r="P77" s="48">
        <f>P35*P$78</f>
        <v>493.23046892090645</v>
      </c>
      <c r="Q77" s="48">
        <f t="shared" si="81"/>
        <v>509.7405671619502</v>
      </c>
      <c r="R77" s="48">
        <f>R35*R$78</f>
        <v>554.10709816961673</v>
      </c>
      <c r="T77" s="47"/>
    </row>
    <row r="78" spans="2:23" x14ac:dyDescent="0.3">
      <c r="B78" s="44" t="s">
        <v>13</v>
      </c>
      <c r="C78" s="44"/>
      <c r="D78" s="45">
        <f t="shared" ref="D78:M78" si="82">D77/D35</f>
        <v>3.561377378461681E-2</v>
      </c>
      <c r="E78" s="45">
        <f t="shared" si="82"/>
        <v>3.7407140102849699E-2</v>
      </c>
      <c r="F78" s="45">
        <f t="shared" si="82"/>
        <v>4.0856023050142666E-2</v>
      </c>
      <c r="G78" s="45">
        <f t="shared" si="82"/>
        <v>3.7248211016023686E-2</v>
      </c>
      <c r="H78" s="45">
        <f t="shared" si="82"/>
        <v>4.0693881530803437E-2</v>
      </c>
      <c r="I78" s="45">
        <f t="shared" si="82"/>
        <v>4.2136096880445832E-2</v>
      </c>
      <c r="J78" s="45">
        <f t="shared" si="82"/>
        <v>3.5835020746834909E-2</v>
      </c>
      <c r="K78" s="45">
        <f t="shared" si="82"/>
        <v>3.5976863623260559E-2</v>
      </c>
      <c r="L78" s="45">
        <f t="shared" si="82"/>
        <v>3.9439966284371866E-2</v>
      </c>
      <c r="M78" s="45">
        <f t="shared" si="82"/>
        <v>4.2172146421378058E-2</v>
      </c>
      <c r="N78" s="159">
        <f>AVERAGE($D$78:$M$78)</f>
        <v>3.8737912344072756E-2</v>
      </c>
      <c r="O78" s="159">
        <f>AVERAGE($D$78:$M$78)</f>
        <v>3.8737912344072756E-2</v>
      </c>
      <c r="P78" s="159">
        <f>AVERAGE($D$78:$M$78)</f>
        <v>3.8737912344072756E-2</v>
      </c>
      <c r="Q78" s="159">
        <f>AVERAGE($D$78:$M$78)</f>
        <v>3.8737912344072756E-2</v>
      </c>
      <c r="R78" s="159">
        <f>AVERAGE($D$78:$M$78)</f>
        <v>3.8737912344072756E-2</v>
      </c>
    </row>
    <row r="79" spans="2:23" x14ac:dyDescent="0.3">
      <c r="B79" s="44" t="s">
        <v>246</v>
      </c>
      <c r="C79" s="44"/>
      <c r="D79" s="45">
        <f>D77/D94</f>
        <v>0.51142612222710071</v>
      </c>
      <c r="E79" s="45">
        <f t="shared" ref="E79:R79" si="83">E77/E94</f>
        <v>0.58655884851281848</v>
      </c>
      <c r="F79" s="45">
        <f t="shared" si="83"/>
        <v>0.68562180104393655</v>
      </c>
      <c r="G79" s="45">
        <f t="shared" si="83"/>
        <v>0.54242782553242375</v>
      </c>
      <c r="H79" s="45">
        <f t="shared" si="83"/>
        <v>0.57210437805601877</v>
      </c>
      <c r="I79" s="45">
        <f t="shared" si="83"/>
        <v>0.80914904940975285</v>
      </c>
      <c r="J79" s="45">
        <f t="shared" si="83"/>
        <v>0.56832664980152192</v>
      </c>
      <c r="K79" s="45">
        <f t="shared" si="83"/>
        <v>0.45688217619160204</v>
      </c>
      <c r="L79" s="45">
        <f t="shared" si="83"/>
        <v>0.58199780629424802</v>
      </c>
      <c r="M79" s="45">
        <f t="shared" si="83"/>
        <v>0.64785732525477635</v>
      </c>
      <c r="N79" s="45">
        <f t="shared" si="83"/>
        <v>0.57423639841499763</v>
      </c>
      <c r="O79" s="45">
        <f>O77/O94</f>
        <v>0.57620995948406539</v>
      </c>
      <c r="P79" s="45">
        <f>P77/P94</f>
        <v>0.59606547241905994</v>
      </c>
      <c r="Q79" s="45">
        <f>Q77/Q94</f>
        <v>0.59251283229507534</v>
      </c>
      <c r="R79" s="45">
        <f t="shared" si="83"/>
        <v>0.70407509297282944</v>
      </c>
    </row>
    <row r="81" spans="2:24" x14ac:dyDescent="0.3">
      <c r="B81" s="139" t="s">
        <v>60</v>
      </c>
      <c r="C81" s="139"/>
      <c r="D81" s="139">
        <v>2015</v>
      </c>
      <c r="E81" s="139">
        <v>2016</v>
      </c>
      <c r="F81" s="139">
        <v>2017</v>
      </c>
      <c r="G81" s="139">
        <v>2018</v>
      </c>
      <c r="H81" s="139">
        <v>2019</v>
      </c>
      <c r="I81" s="139">
        <v>2020</v>
      </c>
      <c r="J81" s="139">
        <v>2021</v>
      </c>
      <c r="K81" s="139">
        <v>2022</v>
      </c>
      <c r="L81" s="139">
        <v>2023</v>
      </c>
      <c r="M81" s="139">
        <v>2024</v>
      </c>
      <c r="N81" s="140" t="s">
        <v>54</v>
      </c>
      <c r="O81" s="140" t="s">
        <v>55</v>
      </c>
      <c r="P81" s="140" t="s">
        <v>56</v>
      </c>
      <c r="Q81" s="140" t="s">
        <v>57</v>
      </c>
      <c r="R81" s="140" t="s">
        <v>58</v>
      </c>
      <c r="S81" s="7"/>
      <c r="T81" s="7"/>
      <c r="U81" s="7"/>
      <c r="V81" s="7"/>
      <c r="W81" s="7"/>
      <c r="X81" s="7"/>
    </row>
    <row r="82" spans="2:24" x14ac:dyDescent="0.3">
      <c r="B82" s="2" t="s">
        <v>332</v>
      </c>
      <c r="C82" s="44"/>
      <c r="D82" s="92">
        <f>D94*D25</f>
        <v>105.59097777651596</v>
      </c>
      <c r="E82" s="92">
        <f t="shared" ref="E82:R82" si="84">E94*E25</f>
        <v>108.69347763812536</v>
      </c>
      <c r="F82" s="92">
        <f t="shared" si="84"/>
        <v>109.47022085693655</v>
      </c>
      <c r="G82" s="92">
        <f t="shared" si="84"/>
        <v>146.01614075185526</v>
      </c>
      <c r="H82" s="92">
        <f t="shared" si="84"/>
        <v>177.90132028780968</v>
      </c>
      <c r="I82" s="92">
        <f t="shared" si="84"/>
        <v>86.381677774877502</v>
      </c>
      <c r="J82" s="92">
        <f t="shared" si="84"/>
        <v>177.90544147004684</v>
      </c>
      <c r="K82" s="92">
        <f t="shared" si="84"/>
        <v>287.26917879215608</v>
      </c>
      <c r="L82" s="92">
        <f t="shared" si="84"/>
        <v>277.6085988415785</v>
      </c>
      <c r="M82" s="92">
        <f t="shared" si="84"/>
        <v>293.52201728391435</v>
      </c>
      <c r="N82" s="92">
        <f t="shared" si="84"/>
        <v>322.50618368118836</v>
      </c>
      <c r="O82" s="92">
        <f t="shared" si="84"/>
        <v>343.5960305541339</v>
      </c>
      <c r="P82" s="92">
        <f t="shared" si="84"/>
        <v>352.39617182028923</v>
      </c>
      <c r="Q82" s="92">
        <f t="shared" si="84"/>
        <v>366.37572259471904</v>
      </c>
      <c r="R82" s="92">
        <f t="shared" si="84"/>
        <v>335.15830315835683</v>
      </c>
    </row>
    <row r="83" spans="2:24" x14ac:dyDescent="0.3">
      <c r="B83" s="44" t="s">
        <v>342</v>
      </c>
      <c r="C83" s="44"/>
      <c r="D83" s="45">
        <f>D82/D$94</f>
        <v>0.73589229530560929</v>
      </c>
      <c r="E83" s="45">
        <f t="shared" ref="E83:R83" si="85">E82/E94</f>
        <v>0.72699318202757901</v>
      </c>
      <c r="F83" s="45">
        <f t="shared" si="85"/>
        <v>0.69344638965778482</v>
      </c>
      <c r="G83" s="45">
        <f t="shared" si="85"/>
        <v>0.64664133862925099</v>
      </c>
      <c r="H83" s="45">
        <f t="shared" si="85"/>
        <v>0.62851996936141463</v>
      </c>
      <c r="I83" s="45">
        <f t="shared" si="85"/>
        <v>0.37684066281694706</v>
      </c>
      <c r="J83" s="45">
        <f t="shared" si="85"/>
        <v>0.45096207742938399</v>
      </c>
      <c r="K83" s="45">
        <f t="shared" si="85"/>
        <v>0.44980197319086157</v>
      </c>
      <c r="L83" s="45">
        <f t="shared" si="85"/>
        <v>0.42586823781239752</v>
      </c>
      <c r="M83" s="45">
        <f t="shared" si="85"/>
        <v>0.42586823781239752</v>
      </c>
      <c r="N83" s="45">
        <f t="shared" si="85"/>
        <v>0.42586823781239752</v>
      </c>
      <c r="O83" s="45">
        <f t="shared" si="85"/>
        <v>0.42586823781239758</v>
      </c>
      <c r="P83" s="45">
        <f t="shared" si="85"/>
        <v>0.42586823781239747</v>
      </c>
      <c r="Q83" s="45">
        <f t="shared" si="85"/>
        <v>0.42586823781239752</v>
      </c>
      <c r="R83" s="45">
        <f t="shared" si="85"/>
        <v>0.42586823781239752</v>
      </c>
    </row>
    <row r="84" spans="2:24" x14ac:dyDescent="0.3">
      <c r="B84" s="44" t="s">
        <v>335</v>
      </c>
      <c r="C84" s="44"/>
      <c r="D84" s="45">
        <f>D82/D23</f>
        <v>6.9636204012282307E-2</v>
      </c>
      <c r="E84" s="45">
        <f t="shared" ref="E84:L84" si="86">E82/E23</f>
        <v>6.3773891055762005E-2</v>
      </c>
      <c r="F84" s="45">
        <f t="shared" si="86"/>
        <v>5.9589737356564164E-2</v>
      </c>
      <c r="G84" s="45">
        <f t="shared" si="86"/>
        <v>6.8669432618915616E-2</v>
      </c>
      <c r="H84" s="45">
        <f t="shared" si="86"/>
        <v>7.1130169758670869E-2</v>
      </c>
      <c r="I84" s="45">
        <f t="shared" si="86"/>
        <v>5.2074579969144996E-2</v>
      </c>
      <c r="J84" s="45">
        <f t="shared" si="86"/>
        <v>6.3053563930795198E-2</v>
      </c>
      <c r="K84" s="45">
        <f t="shared" si="86"/>
        <v>7.8744292288112805E-2</v>
      </c>
      <c r="L84" s="45">
        <f t="shared" si="86"/>
        <v>6.7766520522642121E-2</v>
      </c>
      <c r="M84" s="45">
        <f>M82/M23</f>
        <v>6.5094805256378702E-2</v>
      </c>
      <c r="N84" s="56">
        <f>AVERAGE($D$84:$M$84)</f>
        <v>6.5953319676926872E-2</v>
      </c>
      <c r="O84" s="56">
        <f t="shared" ref="O84:R84" si="87">AVERAGE($D$84:$M$84)</f>
        <v>6.5953319676926872E-2</v>
      </c>
      <c r="P84" s="56">
        <f t="shared" si="87"/>
        <v>6.5953319676926872E-2</v>
      </c>
      <c r="Q84" s="56">
        <f t="shared" si="87"/>
        <v>6.5953319676926872E-2</v>
      </c>
      <c r="R84" s="56">
        <f t="shared" si="87"/>
        <v>6.5953319676926872E-2</v>
      </c>
    </row>
    <row r="85" spans="2:24" x14ac:dyDescent="0.3">
      <c r="C85" s="44"/>
      <c r="D85" s="45"/>
      <c r="E85" s="45"/>
      <c r="F85" s="45"/>
      <c r="G85" s="45"/>
      <c r="H85" s="45"/>
      <c r="I85" s="45"/>
      <c r="J85" s="45"/>
      <c r="K85" s="45"/>
      <c r="L85" s="45"/>
      <c r="M85" s="45"/>
    </row>
    <row r="86" spans="2:24" x14ac:dyDescent="0.3">
      <c r="B86" s="2" t="s">
        <v>333</v>
      </c>
      <c r="C86" s="44"/>
      <c r="D86" s="92">
        <f>D94*D29</f>
        <v>27.960676816031654</v>
      </c>
      <c r="E86" s="92">
        <f t="shared" ref="E86:R86" si="88">E94*E29</f>
        <v>28.907875754993192</v>
      </c>
      <c r="F86" s="92">
        <f t="shared" si="88"/>
        <v>34.418436399777896</v>
      </c>
      <c r="G86" s="92">
        <f t="shared" si="88"/>
        <v>58.977154221351398</v>
      </c>
      <c r="H86" s="92">
        <f t="shared" si="88"/>
        <v>80.9334720151504</v>
      </c>
      <c r="I86" s="92">
        <f t="shared" si="88"/>
        <v>118.94188172096507</v>
      </c>
      <c r="J86" s="92">
        <f t="shared" si="88"/>
        <v>175.1592696001689</v>
      </c>
      <c r="K86" s="92">
        <f t="shared" si="88"/>
        <v>291.33742390892911</v>
      </c>
      <c r="L86" s="92">
        <f t="shared" si="88"/>
        <v>308.34468618291413</v>
      </c>
      <c r="M86" s="92">
        <f t="shared" si="88"/>
        <v>326.01999608388587</v>
      </c>
      <c r="N86" s="92">
        <f t="shared" si="88"/>
        <v>358.2132124659941</v>
      </c>
      <c r="O86" s="92">
        <f t="shared" si="88"/>
        <v>381.63807121611916</v>
      </c>
      <c r="P86" s="92">
        <f t="shared" si="88"/>
        <v>391.4125407692992</v>
      </c>
      <c r="Q86" s="92">
        <f t="shared" si="88"/>
        <v>406.93987030630512</v>
      </c>
      <c r="R86" s="92">
        <f t="shared" si="88"/>
        <v>372.2661410352656</v>
      </c>
    </row>
    <row r="87" spans="2:24" x14ac:dyDescent="0.3">
      <c r="B87" s="44" t="s">
        <v>342</v>
      </c>
      <c r="C87" s="44"/>
      <c r="D87" s="45">
        <f>D86/D$94</f>
        <v>0.19486557539032565</v>
      </c>
      <c r="E87" s="45">
        <f t="shared" ref="E87:R87" si="89">E86/E$94</f>
        <v>0.19334949104074745</v>
      </c>
      <c r="F87" s="45">
        <f t="shared" si="89"/>
        <v>0.21802587290185158</v>
      </c>
      <c r="G87" s="45">
        <f t="shared" si="89"/>
        <v>0.26118390581935635</v>
      </c>
      <c r="H87" s="45">
        <f t="shared" si="89"/>
        <v>0.28593550215917585</v>
      </c>
      <c r="I87" s="45">
        <f t="shared" si="89"/>
        <v>0.51888477625123275</v>
      </c>
      <c r="J87" s="45">
        <f t="shared" si="89"/>
        <v>0.44400096729590444</v>
      </c>
      <c r="K87" s="45">
        <f t="shared" si="89"/>
        <v>0.45617197323278236</v>
      </c>
      <c r="L87" s="45">
        <f t="shared" si="89"/>
        <v>0.47301923892663994</v>
      </c>
      <c r="M87" s="45">
        <f t="shared" si="89"/>
        <v>0.47301923892663994</v>
      </c>
      <c r="N87" s="45">
        <f t="shared" si="89"/>
        <v>0.47301923892663994</v>
      </c>
      <c r="O87" s="45">
        <f t="shared" si="89"/>
        <v>0.47301923892663994</v>
      </c>
      <c r="P87" s="45">
        <f t="shared" si="89"/>
        <v>0.47301923892663988</v>
      </c>
      <c r="Q87" s="45">
        <f t="shared" si="89"/>
        <v>0.47301923892663994</v>
      </c>
      <c r="R87" s="45">
        <f t="shared" si="89"/>
        <v>0.47301923892663988</v>
      </c>
    </row>
    <row r="88" spans="2:24" x14ac:dyDescent="0.3">
      <c r="B88" s="44" t="s">
        <v>336</v>
      </c>
      <c r="C88" s="44"/>
      <c r="D88" s="45">
        <f>D86/D27</f>
        <v>6.9636204012282307E-2</v>
      </c>
      <c r="E88" s="45">
        <f t="shared" ref="E88:L88" si="90">E86/E27</f>
        <v>6.3773891055762005E-2</v>
      </c>
      <c r="F88" s="45">
        <f t="shared" si="90"/>
        <v>5.9589737356564164E-2</v>
      </c>
      <c r="G88" s="45">
        <f t="shared" si="90"/>
        <v>6.866943261891563E-2</v>
      </c>
      <c r="H88" s="45">
        <f t="shared" si="90"/>
        <v>7.1130169758670869E-2</v>
      </c>
      <c r="I88" s="45">
        <f t="shared" si="90"/>
        <v>5.2074579969144989E-2</v>
      </c>
      <c r="J88" s="45">
        <f t="shared" si="90"/>
        <v>6.3053563930795184E-2</v>
      </c>
      <c r="K88" s="45">
        <f t="shared" si="90"/>
        <v>7.8744292288112791E-2</v>
      </c>
      <c r="L88" s="45">
        <f t="shared" si="90"/>
        <v>6.7766520522642135E-2</v>
      </c>
      <c r="M88" s="45">
        <f>M86/M27</f>
        <v>6.5094805256378702E-2</v>
      </c>
      <c r="N88" s="56">
        <f>AVERAGE($D$88:$M$88)</f>
        <v>6.5953319676926872E-2</v>
      </c>
      <c r="O88" s="56">
        <f t="shared" ref="O88:R88" si="91">AVERAGE($D$88:$M$88)</f>
        <v>6.5953319676926872E-2</v>
      </c>
      <c r="P88" s="56">
        <f t="shared" si="91"/>
        <v>6.5953319676926872E-2</v>
      </c>
      <c r="Q88" s="56">
        <f t="shared" si="91"/>
        <v>6.5953319676926872E-2</v>
      </c>
      <c r="R88" s="56">
        <f t="shared" si="91"/>
        <v>6.5953319676926872E-2</v>
      </c>
    </row>
    <row r="89" spans="2:24" x14ac:dyDescent="0.3">
      <c r="B89" s="44"/>
      <c r="C89" s="44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56"/>
      <c r="O89" s="56"/>
      <c r="P89" s="56"/>
      <c r="Q89" s="56"/>
      <c r="R89" s="56"/>
    </row>
    <row r="90" spans="2:24" x14ac:dyDescent="0.3">
      <c r="B90" s="2" t="s">
        <v>334</v>
      </c>
      <c r="C90" s="44"/>
      <c r="D90" s="92">
        <f>D94*D33</f>
        <v>9.9353454074523793</v>
      </c>
      <c r="E90" s="92">
        <f t="shared" ref="E90:R90" si="92">E94*E33</f>
        <v>11.909646606881443</v>
      </c>
      <c r="F90" s="92">
        <f t="shared" si="92"/>
        <v>13.975342743285566</v>
      </c>
      <c r="G90" s="92">
        <f t="shared" si="92"/>
        <v>20.813705026793325</v>
      </c>
      <c r="H90" s="92">
        <f t="shared" si="92"/>
        <v>24.213207697039874</v>
      </c>
      <c r="I90" s="92">
        <f t="shared" si="92"/>
        <v>23.902440504157433</v>
      </c>
      <c r="J90" s="92">
        <f t="shared" si="92"/>
        <v>41.437288929784259</v>
      </c>
      <c r="K90" s="92">
        <f t="shared" si="92"/>
        <v>60.050397298914824</v>
      </c>
      <c r="L90" s="92">
        <f t="shared" si="92"/>
        <v>65.911714975507394</v>
      </c>
      <c r="M90" s="92">
        <f t="shared" si="92"/>
        <v>69.689986632199776</v>
      </c>
      <c r="N90" s="92">
        <f t="shared" si="92"/>
        <v>76.571603852817645</v>
      </c>
      <c r="O90" s="92">
        <f t="shared" si="92"/>
        <v>81.578898229747026</v>
      </c>
      <c r="P90" s="92">
        <f t="shared" si="92"/>
        <v>83.668287410411551</v>
      </c>
      <c r="Q90" s="92">
        <f t="shared" si="92"/>
        <v>86.987407098975908</v>
      </c>
      <c r="R90" s="92">
        <f t="shared" si="92"/>
        <v>79.575555806377579</v>
      </c>
    </row>
    <row r="91" spans="2:24" x14ac:dyDescent="0.3">
      <c r="B91" s="44" t="s">
        <v>342</v>
      </c>
      <c r="C91" s="44"/>
      <c r="D91" s="45">
        <f>D90/D$94</f>
        <v>6.9242129304065037E-2</v>
      </c>
      <c r="E91" s="45">
        <f t="shared" ref="E91:R91" si="93">E90/E$94</f>
        <v>7.9657326931673544E-2</v>
      </c>
      <c r="F91" s="45">
        <f t="shared" si="93"/>
        <v>8.8527737440363644E-2</v>
      </c>
      <c r="G91" s="45">
        <f t="shared" si="93"/>
        <v>9.2174755551392679E-2</v>
      </c>
      <c r="H91" s="45">
        <f t="shared" si="93"/>
        <v>8.554452847940941E-2</v>
      </c>
      <c r="I91" s="45">
        <f t="shared" si="93"/>
        <v>0.10427456093182026</v>
      </c>
      <c r="J91" s="45">
        <f t="shared" si="93"/>
        <v>0.10503695527471156</v>
      </c>
      <c r="K91" s="45">
        <f t="shared" si="93"/>
        <v>9.4026053576356045E-2</v>
      </c>
      <c r="L91" s="45">
        <f t="shared" si="93"/>
        <v>0.10111252326096261</v>
      </c>
      <c r="M91" s="45">
        <f t="shared" si="93"/>
        <v>0.10111252326096261</v>
      </c>
      <c r="N91" s="45">
        <f t="shared" si="93"/>
        <v>0.10111252326096262</v>
      </c>
      <c r="O91" s="45">
        <f t="shared" si="93"/>
        <v>0.10111252326096261</v>
      </c>
      <c r="P91" s="45">
        <f t="shared" si="93"/>
        <v>0.10111252326096261</v>
      </c>
      <c r="Q91" s="45">
        <f t="shared" si="93"/>
        <v>0.10111252326096259</v>
      </c>
      <c r="R91" s="45">
        <f t="shared" si="93"/>
        <v>0.10111252326096262</v>
      </c>
    </row>
    <row r="92" spans="2:24" x14ac:dyDescent="0.3">
      <c r="B92" s="44" t="s">
        <v>337</v>
      </c>
      <c r="C92" s="44"/>
      <c r="D92" s="45">
        <f>D90/D31</f>
        <v>6.9636204012282307E-2</v>
      </c>
      <c r="E92" s="45">
        <f t="shared" ref="E92:L92" si="94">E90/E31</f>
        <v>6.3773891055762005E-2</v>
      </c>
      <c r="F92" s="45">
        <f t="shared" si="94"/>
        <v>5.9589737356564157E-2</v>
      </c>
      <c r="G92" s="45">
        <f t="shared" si="94"/>
        <v>6.8669432618915616E-2</v>
      </c>
      <c r="H92" s="45">
        <f t="shared" si="94"/>
        <v>7.1130169758670869E-2</v>
      </c>
      <c r="I92" s="45">
        <f t="shared" si="94"/>
        <v>5.2074579969145003E-2</v>
      </c>
      <c r="J92" s="45">
        <f t="shared" si="94"/>
        <v>6.3053563930795184E-2</v>
      </c>
      <c r="K92" s="45">
        <f t="shared" si="94"/>
        <v>7.8744292288112805E-2</v>
      </c>
      <c r="L92" s="45">
        <f t="shared" si="94"/>
        <v>6.7766520522642135E-2</v>
      </c>
      <c r="M92" s="45">
        <f>M90/M31</f>
        <v>6.5094805256378702E-2</v>
      </c>
      <c r="N92" s="56">
        <f>AVERAGE($D$92:$M$92)</f>
        <v>6.5953319676926872E-2</v>
      </c>
      <c r="O92" s="56">
        <f t="shared" ref="O92:R92" si="95">AVERAGE($D$92:$M$92)</f>
        <v>6.5953319676926872E-2</v>
      </c>
      <c r="P92" s="56">
        <f t="shared" si="95"/>
        <v>6.5953319676926872E-2</v>
      </c>
      <c r="Q92" s="56">
        <f t="shared" si="95"/>
        <v>6.5953319676926872E-2</v>
      </c>
      <c r="R92" s="56">
        <f t="shared" si="95"/>
        <v>6.5953319676926872E-2</v>
      </c>
    </row>
    <row r="94" spans="2:24" x14ac:dyDescent="0.3">
      <c r="B94" s="2" t="s">
        <v>277</v>
      </c>
      <c r="D94" s="36">
        <f>-CF!B28</f>
        <v>143.48699999999999</v>
      </c>
      <c r="E94" s="36">
        <f>-CF!C28</f>
        <v>149.511</v>
      </c>
      <c r="F94" s="36">
        <f>-CF!D28</f>
        <v>157.864</v>
      </c>
      <c r="G94" s="36">
        <f>-CF!E28</f>
        <v>225.80699999999999</v>
      </c>
      <c r="H94" s="36">
        <f>-CF!F28</f>
        <v>283.048</v>
      </c>
      <c r="I94" s="36">
        <f>-CF!G28</f>
        <v>229.226</v>
      </c>
      <c r="J94" s="36">
        <f>-CF!H28</f>
        <v>394.50200000000001</v>
      </c>
      <c r="K94" s="36">
        <f>-CF!I28</f>
        <v>638.65700000000004</v>
      </c>
      <c r="L94" s="36">
        <f>-CF!J28</f>
        <v>651.86500000000001</v>
      </c>
      <c r="M94" s="36">
        <f>-CF!K28</f>
        <v>689.23199999999997</v>
      </c>
      <c r="N94" s="48">
        <f>CF!G58</f>
        <v>757.29100000000005</v>
      </c>
      <c r="O94" s="48">
        <f>CF!H58</f>
        <v>806.81299999999999</v>
      </c>
      <c r="P94" s="48">
        <f>CF!I58</f>
        <v>827.47699999999998</v>
      </c>
      <c r="Q94" s="48">
        <f>CF!J58</f>
        <v>860.303</v>
      </c>
      <c r="R94" s="48">
        <f>CF!K58</f>
        <v>787</v>
      </c>
    </row>
    <row r="95" spans="2:24" x14ac:dyDescent="0.3">
      <c r="B95" s="44" t="s">
        <v>13</v>
      </c>
      <c r="C95" s="44"/>
      <c r="D95" s="45">
        <f>D94/D35</f>
        <v>6.9636204012282307E-2</v>
      </c>
      <c r="E95" s="45">
        <f t="shared" ref="E95:R95" si="96">E94/E35</f>
        <v>6.3773891055762005E-2</v>
      </c>
      <c r="F95" s="45">
        <f t="shared" si="96"/>
        <v>5.9589737356564164E-2</v>
      </c>
      <c r="G95" s="45">
        <f t="shared" si="96"/>
        <v>6.8669432618915616E-2</v>
      </c>
      <c r="H95" s="45">
        <f t="shared" si="96"/>
        <v>7.1130169758670869E-2</v>
      </c>
      <c r="I95" s="45">
        <f t="shared" si="96"/>
        <v>5.2074579969144996E-2</v>
      </c>
      <c r="J95" s="45">
        <f t="shared" si="96"/>
        <v>6.3053563930795184E-2</v>
      </c>
      <c r="K95" s="45">
        <f t="shared" si="96"/>
        <v>7.8744292288112805E-2</v>
      </c>
      <c r="L95" s="45">
        <f t="shared" si="96"/>
        <v>6.7766520522642135E-2</v>
      </c>
      <c r="M95" s="45">
        <f t="shared" si="96"/>
        <v>6.5094805256378702E-2</v>
      </c>
      <c r="N95" s="158">
        <f>N94/N35</f>
        <v>6.7459869229809899E-2</v>
      </c>
      <c r="O95" s="158">
        <f t="shared" si="96"/>
        <v>6.722881426547786E-2</v>
      </c>
      <c r="P95" s="158">
        <f t="shared" si="96"/>
        <v>6.4989357942273701E-2</v>
      </c>
      <c r="Q95" s="158">
        <f t="shared" si="96"/>
        <v>6.5379026803559614E-2</v>
      </c>
      <c r="R95" s="158">
        <f t="shared" si="96"/>
        <v>5.5019574944071586E-2</v>
      </c>
    </row>
    <row r="96" spans="2:24" x14ac:dyDescent="0.3">
      <c r="B96" s="44"/>
      <c r="C96" s="44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120"/>
      <c r="O96" s="120"/>
      <c r="P96" s="120"/>
      <c r="Q96" s="120"/>
      <c r="R96" s="120"/>
    </row>
    <row r="97" spans="2:19" x14ac:dyDescent="0.3">
      <c r="B97" s="139" t="s">
        <v>279</v>
      </c>
      <c r="C97" s="139"/>
      <c r="D97" s="139">
        <v>2015</v>
      </c>
      <c r="E97" s="139">
        <v>2016</v>
      </c>
      <c r="F97" s="139">
        <v>2017</v>
      </c>
      <c r="G97" s="139">
        <v>2018</v>
      </c>
      <c r="H97" s="139">
        <v>2019</v>
      </c>
      <c r="I97" s="139">
        <v>2020</v>
      </c>
      <c r="J97" s="139">
        <v>2021</v>
      </c>
      <c r="K97" s="139">
        <v>2022</v>
      </c>
      <c r="L97" s="139">
        <v>2023</v>
      </c>
      <c r="M97" s="139">
        <v>2024</v>
      </c>
      <c r="N97" s="140" t="s">
        <v>54</v>
      </c>
      <c r="O97" s="140" t="s">
        <v>55</v>
      </c>
      <c r="P97" s="140" t="s">
        <v>56</v>
      </c>
      <c r="Q97" s="140" t="s">
        <v>57</v>
      </c>
      <c r="R97" s="140" t="s">
        <v>58</v>
      </c>
    </row>
    <row r="98" spans="2:19" x14ac:dyDescent="0.3">
      <c r="B98" s="2" t="s">
        <v>332</v>
      </c>
      <c r="C98" s="44"/>
      <c r="D98" s="92">
        <f>D100*D110</f>
        <v>43.964413398443014</v>
      </c>
      <c r="E98" s="92">
        <f t="shared" ref="E98:M98" si="97">E100*E110</f>
        <v>-0.43837688876263015</v>
      </c>
      <c r="F98" s="92">
        <f t="shared" si="97"/>
        <v>-72.553908857114706</v>
      </c>
      <c r="G98" s="92">
        <f t="shared" si="97"/>
        <v>-72.989641097776712</v>
      </c>
      <c r="H98" s="92">
        <f t="shared" si="97"/>
        <v>121.97749897393909</v>
      </c>
      <c r="I98" s="92">
        <f t="shared" si="97"/>
        <v>17.918396676283017</v>
      </c>
      <c r="J98" s="92">
        <f t="shared" si="97"/>
        <v>-58.233184020533777</v>
      </c>
      <c r="K98" s="92">
        <f t="shared" si="97"/>
        <v>268.5281795791588</v>
      </c>
      <c r="L98" s="92">
        <f t="shared" si="97"/>
        <v>-84.842747941699272</v>
      </c>
      <c r="M98" s="92">
        <f t="shared" si="97"/>
        <v>22.100432201274369</v>
      </c>
      <c r="N98" s="144">
        <f>N100*N$110</f>
        <v>92.10451350912399</v>
      </c>
      <c r="O98" s="144">
        <f>O100*O$110</f>
        <v>98.464810224928044</v>
      </c>
      <c r="P98" s="144">
        <f>P100*P$110</f>
        <v>104.46656080234115</v>
      </c>
      <c r="Q98" s="144">
        <f>Q100*Q$110</f>
        <v>107.96341124129326</v>
      </c>
      <c r="R98" s="144">
        <f>R100*R$110</f>
        <v>117.36027376530041</v>
      </c>
    </row>
    <row r="99" spans="2:19" x14ac:dyDescent="0.3">
      <c r="B99" s="44" t="s">
        <v>343</v>
      </c>
      <c r="C99" s="44"/>
      <c r="D99" s="45">
        <f>D98/D23</f>
        <v>2.8994095188454579E-2</v>
      </c>
      <c r="E99" s="45">
        <f t="shared" ref="E99:R99" si="98">E98/E23</f>
        <v>-2.5720954516138939E-4</v>
      </c>
      <c r="F99" s="45">
        <f t="shared" si="98"/>
        <v>-3.9494470177764369E-2</v>
      </c>
      <c r="G99" s="45">
        <f t="shared" si="98"/>
        <v>-3.4326049267117943E-2</v>
      </c>
      <c r="H99" s="45">
        <f t="shared" si="98"/>
        <v>4.8770184474841771E-2</v>
      </c>
      <c r="I99" s="45">
        <f t="shared" si="98"/>
        <v>1.0801977973497228E-2</v>
      </c>
      <c r="J99" s="45">
        <f t="shared" si="98"/>
        <v>-2.0639108962559161E-2</v>
      </c>
      <c r="K99" s="45">
        <f t="shared" si="98"/>
        <v>7.3607135820424788E-2</v>
      </c>
      <c r="L99" s="45">
        <f t="shared" si="98"/>
        <v>-2.0710805946142732E-2</v>
      </c>
      <c r="M99" s="45">
        <f t="shared" si="98"/>
        <v>4.9012450361848739E-3</v>
      </c>
      <c r="N99" s="45">
        <f t="shared" si="98"/>
        <v>1.9265858303488977E-2</v>
      </c>
      <c r="O99" s="45">
        <f t="shared" si="98"/>
        <v>1.9265858303488981E-2</v>
      </c>
      <c r="P99" s="45">
        <f t="shared" si="98"/>
        <v>1.9265858303488977E-2</v>
      </c>
      <c r="Q99" s="45">
        <f t="shared" si="98"/>
        <v>1.9265858303488977E-2</v>
      </c>
      <c r="R99" s="45">
        <f t="shared" si="98"/>
        <v>1.9265858303488974E-2</v>
      </c>
    </row>
    <row r="100" spans="2:19" x14ac:dyDescent="0.3">
      <c r="B100" s="44" t="s">
        <v>335</v>
      </c>
      <c r="C100" s="44"/>
      <c r="D100" s="45">
        <f>D25</f>
        <v>0.73589229530560929</v>
      </c>
      <c r="E100" s="45">
        <f t="shared" ref="E100:M100" si="99">E25</f>
        <v>0.72699318202757901</v>
      </c>
      <c r="F100" s="45">
        <f t="shared" si="99"/>
        <v>0.69344638965778482</v>
      </c>
      <c r="G100" s="45">
        <f t="shared" si="99"/>
        <v>0.64664133862925099</v>
      </c>
      <c r="H100" s="45">
        <f t="shared" si="99"/>
        <v>0.62851996936141463</v>
      </c>
      <c r="I100" s="45">
        <f t="shared" si="99"/>
        <v>0.37684066281694706</v>
      </c>
      <c r="J100" s="45">
        <f t="shared" si="99"/>
        <v>0.45096207742938393</v>
      </c>
      <c r="K100" s="45">
        <f t="shared" si="99"/>
        <v>0.44980197319086151</v>
      </c>
      <c r="L100" s="45">
        <f t="shared" si="99"/>
        <v>0.42586823781239752</v>
      </c>
      <c r="M100" s="45">
        <f t="shared" si="99"/>
        <v>0.42586823781239752</v>
      </c>
      <c r="N100" s="159">
        <f>AVERAGE($I$100:$M$100)</f>
        <v>0.42586823781239752</v>
      </c>
      <c r="O100" s="159">
        <f t="shared" ref="O100:R100" si="100">AVERAGE($I$100:$M$100)</f>
        <v>0.42586823781239752</v>
      </c>
      <c r="P100" s="159">
        <f t="shared" si="100"/>
        <v>0.42586823781239752</v>
      </c>
      <c r="Q100" s="159">
        <f t="shared" si="100"/>
        <v>0.42586823781239752</v>
      </c>
      <c r="R100" s="159">
        <f t="shared" si="100"/>
        <v>0.42586823781239752</v>
      </c>
    </row>
    <row r="101" spans="2:19" x14ac:dyDescent="0.3">
      <c r="C101" s="44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157"/>
      <c r="O101" s="157"/>
      <c r="P101" s="157"/>
      <c r="Q101" s="157"/>
      <c r="R101" s="157"/>
    </row>
    <row r="102" spans="2:19" x14ac:dyDescent="0.3">
      <c r="B102" s="2" t="s">
        <v>333</v>
      </c>
      <c r="C102" s="44"/>
      <c r="D102" s="92">
        <f t="shared" ref="D102:M102" si="101">D104*D110</f>
        <v>11.641854070544225</v>
      </c>
      <c r="E102" s="92">
        <f t="shared" si="101"/>
        <v>-0.11658974309757071</v>
      </c>
      <c r="F102" s="92">
        <f t="shared" si="101"/>
        <v>-22.811611029974927</v>
      </c>
      <c r="G102" s="92">
        <f t="shared" si="101"/>
        <v>-29.481133369359849</v>
      </c>
      <c r="H102" s="92">
        <f t="shared" si="101"/>
        <v>55.491788839533413</v>
      </c>
      <c r="I102" s="92">
        <f t="shared" si="101"/>
        <v>24.672452225969867</v>
      </c>
      <c r="J102" s="92">
        <f t="shared" si="101"/>
        <v>-57.334288907887434</v>
      </c>
      <c r="K102" s="92">
        <f t="shared" si="101"/>
        <v>272.33101864418524</v>
      </c>
      <c r="L102" s="92">
        <f t="shared" si="101"/>
        <v>-94.236311836681978</v>
      </c>
      <c r="M102" s="92">
        <f t="shared" si="101"/>
        <v>24.54733340409798</v>
      </c>
      <c r="N102" s="145">
        <f>N104*N$110</f>
        <v>102.30208081633546</v>
      </c>
      <c r="O102" s="145">
        <f>O104*O$110</f>
        <v>109.36657270545012</v>
      </c>
      <c r="P102" s="145">
        <f>P104*P$110</f>
        <v>116.03282117924702</v>
      </c>
      <c r="Q102" s="145">
        <f>Q104*Q$110</f>
        <v>119.91683361879895</v>
      </c>
      <c r="R102" s="145">
        <f>R104*R$110</f>
        <v>130.35409182391118</v>
      </c>
      <c r="S102" s="146"/>
    </row>
    <row r="103" spans="2:19" x14ac:dyDescent="0.3">
      <c r="B103" s="44" t="s">
        <v>344</v>
      </c>
      <c r="C103" s="44"/>
      <c r="D103" s="45">
        <f>D102/D27</f>
        <v>2.8994095188454583E-2</v>
      </c>
      <c r="E103" s="45">
        <f t="shared" ref="E103:R103" si="102">E102/E27</f>
        <v>-2.5720954516138939E-4</v>
      </c>
      <c r="F103" s="45">
        <f t="shared" si="102"/>
        <v>-3.9494470177764376E-2</v>
      </c>
      <c r="G103" s="45">
        <f t="shared" si="102"/>
        <v>-3.4326049267117943E-2</v>
      </c>
      <c r="H103" s="45">
        <f t="shared" si="102"/>
        <v>4.8770184474841778E-2</v>
      </c>
      <c r="I103" s="45">
        <f t="shared" si="102"/>
        <v>1.0801977973497226E-2</v>
      </c>
      <c r="J103" s="45">
        <f t="shared" si="102"/>
        <v>-2.0639108962559157E-2</v>
      </c>
      <c r="K103" s="45">
        <f t="shared" si="102"/>
        <v>7.3607135820424788E-2</v>
      </c>
      <c r="L103" s="45">
        <f t="shared" si="102"/>
        <v>-2.0710805946142736E-2</v>
      </c>
      <c r="M103" s="45">
        <f t="shared" si="102"/>
        <v>4.9012450361848739E-3</v>
      </c>
      <c r="N103" s="45">
        <f t="shared" si="102"/>
        <v>1.9265858303488981E-2</v>
      </c>
      <c r="O103" s="45">
        <f t="shared" si="102"/>
        <v>1.9265858303488984E-2</v>
      </c>
      <c r="P103" s="45">
        <f t="shared" si="102"/>
        <v>1.9265858303488977E-2</v>
      </c>
      <c r="Q103" s="45">
        <f t="shared" si="102"/>
        <v>1.9265858303488977E-2</v>
      </c>
      <c r="R103" s="45">
        <f t="shared" si="102"/>
        <v>1.9265858303488977E-2</v>
      </c>
    </row>
    <row r="104" spans="2:19" x14ac:dyDescent="0.3">
      <c r="B104" s="44" t="s">
        <v>336</v>
      </c>
      <c r="C104" s="44"/>
      <c r="D104" s="45">
        <f t="shared" ref="D104:M104" si="103">D29</f>
        <v>0.19486557539032565</v>
      </c>
      <c r="E104" s="45">
        <f t="shared" si="103"/>
        <v>0.19334949104074745</v>
      </c>
      <c r="F104" s="45">
        <f t="shared" si="103"/>
        <v>0.21802587290185158</v>
      </c>
      <c r="G104" s="45">
        <f t="shared" si="103"/>
        <v>0.26118390581935635</v>
      </c>
      <c r="H104" s="45">
        <f t="shared" si="103"/>
        <v>0.28593550215917585</v>
      </c>
      <c r="I104" s="45">
        <f t="shared" si="103"/>
        <v>0.51888477625123275</v>
      </c>
      <c r="J104" s="45">
        <f t="shared" si="103"/>
        <v>0.44400096729590444</v>
      </c>
      <c r="K104" s="45">
        <f t="shared" si="103"/>
        <v>0.45617197323278241</v>
      </c>
      <c r="L104" s="45">
        <f t="shared" si="103"/>
        <v>0.47301923892663988</v>
      </c>
      <c r="M104" s="45">
        <f t="shared" si="103"/>
        <v>0.47301923892663988</v>
      </c>
      <c r="N104" s="159">
        <f>AVERAGE($I$104:$M$104)</f>
        <v>0.47301923892663994</v>
      </c>
      <c r="O104" s="159">
        <f t="shared" ref="O104:R104" si="104">AVERAGE($I$104:$M$104)</f>
        <v>0.47301923892663994</v>
      </c>
      <c r="P104" s="159">
        <f t="shared" si="104"/>
        <v>0.47301923892663994</v>
      </c>
      <c r="Q104" s="159">
        <f t="shared" si="104"/>
        <v>0.47301923892663994</v>
      </c>
      <c r="R104" s="159">
        <f t="shared" si="104"/>
        <v>0.47301923892663994</v>
      </c>
    </row>
    <row r="105" spans="2:19" x14ac:dyDescent="0.3">
      <c r="B105" s="44"/>
      <c r="C105" s="44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120"/>
      <c r="O105" s="120"/>
      <c r="P105" s="120"/>
      <c r="Q105" s="120"/>
      <c r="R105" s="120"/>
    </row>
    <row r="106" spans="2:19" x14ac:dyDescent="0.3">
      <c r="B106" s="2" t="s">
        <v>334</v>
      </c>
      <c r="C106" s="44"/>
      <c r="D106" s="92">
        <f>D110*D108</f>
        <v>4.1367325310127576</v>
      </c>
      <c r="E106" s="92">
        <f t="shared" ref="E106:M106" si="105">E110*E108</f>
        <v>-4.8033368139799137E-2</v>
      </c>
      <c r="F106" s="92">
        <f t="shared" si="105"/>
        <v>-9.2624801129103673</v>
      </c>
      <c r="G106" s="92">
        <f t="shared" si="105"/>
        <v>-10.404225532863448</v>
      </c>
      <c r="H106" s="92">
        <f t="shared" si="105"/>
        <v>16.601712186527465</v>
      </c>
      <c r="I106" s="92">
        <f t="shared" si="105"/>
        <v>4.9581510977471215</v>
      </c>
      <c r="J106" s="92">
        <f t="shared" si="105"/>
        <v>-13.563527071578781</v>
      </c>
      <c r="K106" s="92">
        <f t="shared" si="105"/>
        <v>56.132801776655946</v>
      </c>
      <c r="L106" s="92">
        <f t="shared" si="105"/>
        <v>-20.143940221618756</v>
      </c>
      <c r="M106" s="92">
        <f t="shared" si="105"/>
        <v>5.2472343946276547</v>
      </c>
      <c r="N106" s="92">
        <f t="shared" ref="N106:R106" si="106">N110*N108</f>
        <v>21.868077817847148</v>
      </c>
      <c r="O106" s="92">
        <f t="shared" si="106"/>
        <v>23.378182569793125</v>
      </c>
      <c r="P106" s="92">
        <f t="shared" si="106"/>
        <v>24.803158867585278</v>
      </c>
      <c r="Q106" s="92">
        <f t="shared" si="106"/>
        <v>25.633404798028227</v>
      </c>
      <c r="R106" s="92">
        <f t="shared" si="106"/>
        <v>27.864471583894737</v>
      </c>
    </row>
    <row r="107" spans="2:19" x14ac:dyDescent="0.3">
      <c r="B107" s="44" t="s">
        <v>345</v>
      </c>
      <c r="C107" s="44"/>
      <c r="D107" s="45">
        <f>D106/D31</f>
        <v>2.8994095188454579E-2</v>
      </c>
      <c r="E107" s="45">
        <f t="shared" ref="E107:M107" si="107">E106/E31</f>
        <v>-2.5720954516138934E-4</v>
      </c>
      <c r="F107" s="45">
        <f t="shared" si="107"/>
        <v>-3.9494470177764369E-2</v>
      </c>
      <c r="G107" s="45">
        <f t="shared" si="107"/>
        <v>-3.4326049267117936E-2</v>
      </c>
      <c r="H107" s="45">
        <f t="shared" si="107"/>
        <v>4.8770184474841778E-2</v>
      </c>
      <c r="I107" s="45">
        <f t="shared" si="107"/>
        <v>1.0801977973497226E-2</v>
      </c>
      <c r="J107" s="45">
        <f t="shared" si="107"/>
        <v>-2.0639108962559161E-2</v>
      </c>
      <c r="K107" s="45">
        <f t="shared" si="107"/>
        <v>7.3607135820424788E-2</v>
      </c>
      <c r="L107" s="45">
        <f t="shared" si="107"/>
        <v>-2.0710805946142736E-2</v>
      </c>
      <c r="M107" s="45">
        <f t="shared" si="107"/>
        <v>4.9012450361848731E-3</v>
      </c>
      <c r="N107" s="45">
        <f t="shared" ref="N107:R107" si="108">N106/N31</f>
        <v>1.9265858303488981E-2</v>
      </c>
      <c r="O107" s="45">
        <f t="shared" si="108"/>
        <v>1.9265858303488981E-2</v>
      </c>
      <c r="P107" s="45">
        <f t="shared" si="108"/>
        <v>1.9265858303488977E-2</v>
      </c>
      <c r="Q107" s="45">
        <f t="shared" si="108"/>
        <v>1.9265858303488977E-2</v>
      </c>
      <c r="R107" s="45">
        <f t="shared" si="108"/>
        <v>1.9265858303488974E-2</v>
      </c>
    </row>
    <row r="108" spans="2:19" x14ac:dyDescent="0.3">
      <c r="B108" s="44" t="s">
        <v>337</v>
      </c>
      <c r="D108" s="45">
        <f>D53</f>
        <v>6.9242129304065037E-2</v>
      </c>
      <c r="E108" s="45">
        <f t="shared" ref="E108:M108" si="109">E53</f>
        <v>7.9657326931673531E-2</v>
      </c>
      <c r="F108" s="45">
        <f t="shared" si="109"/>
        <v>8.8527737440363644E-2</v>
      </c>
      <c r="G108" s="45">
        <f t="shared" si="109"/>
        <v>9.2174755551392679E-2</v>
      </c>
      <c r="H108" s="45">
        <f t="shared" si="109"/>
        <v>8.554452847940941E-2</v>
      </c>
      <c r="I108" s="45">
        <f t="shared" si="109"/>
        <v>0.10427456093182026</v>
      </c>
      <c r="J108" s="45">
        <f t="shared" si="109"/>
        <v>0.10503695527471157</v>
      </c>
      <c r="K108" s="45">
        <f t="shared" si="109"/>
        <v>9.4026053576356045E-2</v>
      </c>
      <c r="L108" s="45">
        <f t="shared" si="109"/>
        <v>0.10111252326096261</v>
      </c>
      <c r="M108" s="45">
        <f t="shared" si="109"/>
        <v>0.10111252326096261</v>
      </c>
      <c r="N108" s="159">
        <f>AVERAGE($I$108:$M$108)</f>
        <v>0.10111252326096261</v>
      </c>
      <c r="O108" s="159">
        <f t="shared" ref="O108:R108" si="110">AVERAGE($I$108:$M$108)</f>
        <v>0.10111252326096261</v>
      </c>
      <c r="P108" s="159">
        <f t="shared" si="110"/>
        <v>0.10111252326096261</v>
      </c>
      <c r="Q108" s="159">
        <f t="shared" si="110"/>
        <v>0.10111252326096261</v>
      </c>
      <c r="R108" s="159">
        <f t="shared" si="110"/>
        <v>0.10111252326096261</v>
      </c>
    </row>
    <row r="109" spans="2:19" x14ac:dyDescent="0.3">
      <c r="B109" s="44"/>
      <c r="D109" s="92"/>
      <c r="M109" s="92"/>
      <c r="N109" s="92"/>
      <c r="O109" s="47"/>
    </row>
    <row r="110" spans="2:19" x14ac:dyDescent="0.3">
      <c r="B110" s="2" t="s">
        <v>278</v>
      </c>
      <c r="D110" s="36">
        <f>-CF!B19</f>
        <v>59.743000000000002</v>
      </c>
      <c r="E110" s="36">
        <f>-CF!C19</f>
        <v>-0.60299999999999998</v>
      </c>
      <c r="F110" s="36">
        <f>-CF!D19</f>
        <v>-104.628</v>
      </c>
      <c r="G110" s="36">
        <f>-CF!E19</f>
        <v>-112.875</v>
      </c>
      <c r="H110" s="36">
        <f>-CF!F19</f>
        <v>194.071</v>
      </c>
      <c r="I110" s="36">
        <f>-CF!G19</f>
        <v>47.548999999999999</v>
      </c>
      <c r="J110" s="36">
        <f>-CF!H19</f>
        <v>-129.131</v>
      </c>
      <c r="K110" s="36">
        <f>-CF!I19</f>
        <v>596.99199999999996</v>
      </c>
      <c r="L110" s="36">
        <f>-CF!J19</f>
        <v>-199.22300000000001</v>
      </c>
      <c r="M110" s="36">
        <f>-CF!K19</f>
        <v>51.895000000000003</v>
      </c>
      <c r="N110" s="48">
        <f>N35*N$111</f>
        <v>216.27467214330659</v>
      </c>
      <c r="O110" s="48">
        <f>O35*O$111</f>
        <v>231.20956550017127</v>
      </c>
      <c r="P110" s="48">
        <f>P35*P$111</f>
        <v>245.30254084917343</v>
      </c>
      <c r="Q110" s="48">
        <f>Q35*Q$111</f>
        <v>253.51364965812041</v>
      </c>
      <c r="R110" s="48">
        <f>R35*R$111</f>
        <v>275.57883717310631</v>
      </c>
    </row>
    <row r="111" spans="2:19" x14ac:dyDescent="0.3">
      <c r="B111" s="44" t="s">
        <v>13</v>
      </c>
      <c r="C111" s="44"/>
      <c r="D111" s="45">
        <f>D110/D35</f>
        <v>2.8994095188454579E-2</v>
      </c>
      <c r="E111" s="45">
        <f t="shared" ref="E111:M111" si="111">E110/E35</f>
        <v>-2.5720954516138939E-4</v>
      </c>
      <c r="F111" s="45">
        <f t="shared" si="111"/>
        <v>-3.9494470177764369E-2</v>
      </c>
      <c r="G111" s="45">
        <f t="shared" si="111"/>
        <v>-3.4326049267117943E-2</v>
      </c>
      <c r="H111" s="45">
        <f t="shared" si="111"/>
        <v>4.8770184474841778E-2</v>
      </c>
      <c r="I111" s="45">
        <f t="shared" si="111"/>
        <v>1.0801977973497226E-2</v>
      </c>
      <c r="J111" s="45">
        <f t="shared" si="111"/>
        <v>-2.0639108962559157E-2</v>
      </c>
      <c r="K111" s="45">
        <f t="shared" si="111"/>
        <v>7.3607135820424788E-2</v>
      </c>
      <c r="L111" s="45">
        <f t="shared" si="111"/>
        <v>-2.0710805946142736E-2</v>
      </c>
      <c r="M111" s="45">
        <f t="shared" si="111"/>
        <v>4.9012450361848739E-3</v>
      </c>
      <c r="N111" s="159">
        <f>AVERAGE($K$111:$M$111)</f>
        <v>1.9265858303488977E-2</v>
      </c>
      <c r="O111" s="159">
        <f t="shared" ref="O111:R111" si="112">AVERAGE($K$111:$M$111)</f>
        <v>1.9265858303488977E-2</v>
      </c>
      <c r="P111" s="159">
        <f t="shared" si="112"/>
        <v>1.9265858303488977E-2</v>
      </c>
      <c r="Q111" s="159">
        <f t="shared" si="112"/>
        <v>1.9265858303488977E-2</v>
      </c>
      <c r="R111" s="159">
        <f t="shared" si="112"/>
        <v>1.9265858303488977E-2</v>
      </c>
    </row>
    <row r="112" spans="2:19" x14ac:dyDescent="0.3">
      <c r="B112" s="44" t="s">
        <v>62</v>
      </c>
      <c r="C112" s="44"/>
      <c r="D112" s="45"/>
      <c r="E112" s="45">
        <f t="shared" ref="E112:R112" si="113">E110/(E35-D35)</f>
        <v>-2.1242192701563067E-3</v>
      </c>
      <c r="F112" s="45">
        <f t="shared" si="113"/>
        <v>-0.34328010525314212</v>
      </c>
      <c r="G112" s="45">
        <f t="shared" si="113"/>
        <v>-0.17660505242999167</v>
      </c>
      <c r="H112" s="45">
        <f t="shared" si="113"/>
        <v>0.28086463080536678</v>
      </c>
      <c r="I112" s="45">
        <f t="shared" si="113"/>
        <v>0.1125199073318142</v>
      </c>
      <c r="J112" s="45">
        <f t="shared" si="113"/>
        <v>-6.962223235842474E-2</v>
      </c>
      <c r="K112" s="45">
        <f t="shared" si="113"/>
        <v>0.32201935270545728</v>
      </c>
      <c r="L112" s="45">
        <f t="shared" si="113"/>
        <v>-0.1320441952331716</v>
      </c>
      <c r="M112" s="45">
        <f t="shared" si="113"/>
        <v>5.3563613693788918E-2</v>
      </c>
      <c r="N112" s="45">
        <f>N110/(N35-M35)</f>
        <v>0.33916181645057863</v>
      </c>
      <c r="O112" s="45">
        <f t="shared" si="113"/>
        <v>0.29825795343159323</v>
      </c>
      <c r="P112" s="45">
        <f t="shared" si="113"/>
        <v>0.33534181934268409</v>
      </c>
      <c r="Q112" s="45">
        <f t="shared" si="113"/>
        <v>0.59482320426588708</v>
      </c>
      <c r="R112" s="45">
        <f t="shared" si="113"/>
        <v>0.2406171633398293</v>
      </c>
    </row>
    <row r="113" spans="2:22" x14ac:dyDescent="0.3">
      <c r="N113" s="2">
        <v>1</v>
      </c>
      <c r="O113" s="2">
        <v>2</v>
      </c>
      <c r="P113" s="2">
        <v>3</v>
      </c>
      <c r="Q113" s="2">
        <v>4</v>
      </c>
      <c r="R113" s="2">
        <v>5</v>
      </c>
    </row>
    <row r="114" spans="2:22" x14ac:dyDescent="0.3">
      <c r="B114" s="139" t="s">
        <v>1</v>
      </c>
      <c r="C114" s="139"/>
      <c r="D114" s="139">
        <v>2015</v>
      </c>
      <c r="E114" s="139">
        <v>2016</v>
      </c>
      <c r="F114" s="139">
        <v>2017</v>
      </c>
      <c r="G114" s="139">
        <v>2018</v>
      </c>
      <c r="H114" s="139">
        <v>2019</v>
      </c>
      <c r="I114" s="139">
        <v>2020</v>
      </c>
      <c r="J114" s="139">
        <v>2021</v>
      </c>
      <c r="K114" s="139">
        <v>2022</v>
      </c>
      <c r="L114" s="139">
        <v>2023</v>
      </c>
      <c r="M114" s="139">
        <v>2024</v>
      </c>
      <c r="N114" s="139">
        <v>2025</v>
      </c>
      <c r="O114" s="139">
        <v>2026</v>
      </c>
      <c r="P114" s="139">
        <v>2027</v>
      </c>
      <c r="Q114" s="139">
        <v>2028</v>
      </c>
      <c r="R114" s="139">
        <v>2029</v>
      </c>
    </row>
    <row r="115" spans="2:22" x14ac:dyDescent="0.3">
      <c r="B115" s="2" t="s">
        <v>3</v>
      </c>
      <c r="D115" s="54">
        <f>D35</f>
        <v>2060.5230000000001</v>
      </c>
      <c r="E115" s="54">
        <f t="shared" ref="E115:M115" si="114">E35</f>
        <v>2344.3919999999998</v>
      </c>
      <c r="F115" s="54">
        <f t="shared" si="114"/>
        <v>2649.181</v>
      </c>
      <c r="G115" s="54">
        <f t="shared" si="114"/>
        <v>3288.319</v>
      </c>
      <c r="H115" s="54">
        <f t="shared" si="114"/>
        <v>3979.2960000000003</v>
      </c>
      <c r="I115" s="54">
        <f t="shared" si="114"/>
        <v>4401.8789999999999</v>
      </c>
      <c r="J115" s="54">
        <f t="shared" si="114"/>
        <v>6256.6170000000002</v>
      </c>
      <c r="K115" s="54">
        <f t="shared" si="114"/>
        <v>8110.518</v>
      </c>
      <c r="L115" s="54">
        <f t="shared" si="114"/>
        <v>9619.2780000000002</v>
      </c>
      <c r="M115" s="54">
        <f t="shared" si="114"/>
        <v>10588.126</v>
      </c>
      <c r="N115" s="54">
        <f>M115*(1+N116)</f>
        <v>11225.800000000001</v>
      </c>
      <c r="O115" s="54">
        <f ca="1">N115*(1+O116)</f>
        <v>12001.000000000002</v>
      </c>
      <c r="P115" s="54">
        <f t="shared" ref="P115" ca="1" si="115">O115*(1+P116)</f>
        <v>12961.080000000004</v>
      </c>
      <c r="Q115" s="54">
        <f ca="1">P115*(1+Q116)</f>
        <v>13963.525200000005</v>
      </c>
      <c r="R115" s="54">
        <f ca="1">Q115*(1+R116)</f>
        <v>14801.336712000006</v>
      </c>
    </row>
    <row r="116" spans="2:22" x14ac:dyDescent="0.3">
      <c r="B116" s="44" t="s">
        <v>12</v>
      </c>
      <c r="D116" s="55" t="s">
        <v>98</v>
      </c>
      <c r="E116" s="45">
        <f>E115/D115-1</f>
        <v>0.13776550904794549</v>
      </c>
      <c r="F116" s="45">
        <f t="shared" ref="F116:M116" si="116">F115/E115-1</f>
        <v>0.13000769495886355</v>
      </c>
      <c r="G116" s="45">
        <f t="shared" si="116"/>
        <v>0.24125871354203432</v>
      </c>
      <c r="H116" s="45">
        <f t="shared" si="116"/>
        <v>0.21013076894303762</v>
      </c>
      <c r="I116" s="45">
        <f t="shared" si="116"/>
        <v>0.10619541748088102</v>
      </c>
      <c r="J116" s="45">
        <f t="shared" si="116"/>
        <v>0.42135142742451581</v>
      </c>
      <c r="K116" s="45">
        <f t="shared" si="116"/>
        <v>0.29631045020016411</v>
      </c>
      <c r="L116" s="45">
        <f t="shared" si="116"/>
        <v>0.18602510961691965</v>
      </c>
      <c r="M116" s="45">
        <f t="shared" si="116"/>
        <v>0.1007194095024595</v>
      </c>
      <c r="N116" s="45">
        <f>N36</f>
        <v>6.0225388326508478E-2</v>
      </c>
      <c r="O116" s="45">
        <f t="shared" ref="O116:R116" ca="1" si="117">OFFSET(O116,$D$11,0)</f>
        <v>6.905521210069665E-2</v>
      </c>
      <c r="P116" s="45">
        <f t="shared" ca="1" si="117"/>
        <v>0.08</v>
      </c>
      <c r="Q116" s="45">
        <f ca="1">OFFSET(Q116,$D$11,0)</f>
        <v>7.7342721439880038E-2</v>
      </c>
      <c r="R116" s="45">
        <f t="shared" ca="1" si="117"/>
        <v>0.06</v>
      </c>
    </row>
    <row r="117" spans="2:22" x14ac:dyDescent="0.3">
      <c r="B117" s="2" t="s">
        <v>8</v>
      </c>
      <c r="N117" s="49">
        <f>N118</f>
        <v>6.0225388326508478E-2</v>
      </c>
      <c r="O117" s="49">
        <f>O118*$H$11</f>
        <v>5.5244169680557322E-2</v>
      </c>
      <c r="P117" s="49">
        <f>P118*$H$11</f>
        <v>6.4000000000000001E-2</v>
      </c>
      <c r="Q117" s="49">
        <f t="shared" ref="Q117" si="118">Q118*$H$11</f>
        <v>6.1874177151904033E-2</v>
      </c>
      <c r="R117" s="49">
        <f>R118*$H$11</f>
        <v>4.8000000000000001E-2</v>
      </c>
      <c r="S117" s="2">
        <f>IF($D$15=0,$H$13,O118*$H$11)</f>
        <v>5.5244169680557322E-2</v>
      </c>
      <c r="T117" s="2">
        <f t="shared" ref="T117:V117" si="119">IF($D$15=0,$H$13,P118*$H$11)</f>
        <v>6.4000000000000001E-2</v>
      </c>
      <c r="U117" s="2">
        <f>IF($D$15=0,$H$13,Q118*$H$11)</f>
        <v>6.1874177151904033E-2</v>
      </c>
      <c r="V117" s="2">
        <f t="shared" si="119"/>
        <v>4.8000000000000001E-2</v>
      </c>
    </row>
    <row r="118" spans="2:22" x14ac:dyDescent="0.3">
      <c r="B118" s="2" t="s">
        <v>9</v>
      </c>
      <c r="M118" s="126"/>
      <c r="N118" s="49">
        <f>N36</f>
        <v>6.0225388326508478E-2</v>
      </c>
      <c r="O118" s="49">
        <f>O36</f>
        <v>6.905521210069665E-2</v>
      </c>
      <c r="P118" s="49">
        <f>L11</f>
        <v>0.08</v>
      </c>
      <c r="Q118" s="49">
        <f>P118+(($R$124-$O$124)/($R$114-$P$114))</f>
        <v>7.7342721439880038E-2</v>
      </c>
      <c r="R118" s="49">
        <f>L12</f>
        <v>0.06</v>
      </c>
      <c r="S118" s="2">
        <f>IF($D$15=0,$L$14,O39)</f>
        <v>6.905521210069665E-2</v>
      </c>
      <c r="T118" s="2">
        <f>IF($D$15=0,$L$14,L11)</f>
        <v>0.08</v>
      </c>
      <c r="U118" s="2">
        <f>IF($D$15=0,$L$14,P118+(($R$118-$O$118)/($R$114-P114)))</f>
        <v>7.5472393949651675E-2</v>
      </c>
      <c r="V118" s="2">
        <f>IF($D$15=0,$L$14,L12)</f>
        <v>0.06</v>
      </c>
    </row>
    <row r="119" spans="2:22" x14ac:dyDescent="0.3">
      <c r="B119" s="2" t="s">
        <v>112</v>
      </c>
      <c r="N119" s="49">
        <f>N118</f>
        <v>6.0225388326508478E-2</v>
      </c>
      <c r="O119" s="49">
        <f>O118*$P$11</f>
        <v>8.2866254520835972E-2</v>
      </c>
      <c r="P119" s="49">
        <f t="shared" ref="P119:R119" si="120">P118*$P$11</f>
        <v>9.6000000000000002E-2</v>
      </c>
      <c r="Q119" s="49">
        <f t="shared" si="120"/>
        <v>9.2811265727856043E-2</v>
      </c>
      <c r="R119" s="49">
        <f t="shared" si="120"/>
        <v>7.1999999999999995E-2</v>
      </c>
    </row>
    <row r="121" spans="2:22" x14ac:dyDescent="0.3">
      <c r="B121" s="2" t="s">
        <v>4</v>
      </c>
      <c r="D121" s="54">
        <f t="shared" ref="D121:M121" si="121">D55</f>
        <v>357.11799999999999</v>
      </c>
      <c r="E121" s="54">
        <f t="shared" si="121"/>
        <v>429.452</v>
      </c>
      <c r="F121" s="54">
        <f t="shared" si="121"/>
        <v>495.90699999999998</v>
      </c>
      <c r="G121" s="54">
        <f t="shared" si="121"/>
        <v>704.44299999999998</v>
      </c>
      <c r="H121" s="54">
        <f t="shared" si="121"/>
        <v>890.61800000000005</v>
      </c>
      <c r="I121" s="54">
        <f t="shared" si="121"/>
        <v>815.83199999999999</v>
      </c>
      <c r="J121" s="54">
        <f t="shared" si="121"/>
        <v>1383.1120000000001</v>
      </c>
      <c r="K121" s="54">
        <f t="shared" si="121"/>
        <v>1733.6759999999999</v>
      </c>
      <c r="L121" s="54">
        <f t="shared" si="121"/>
        <v>2207.6439999999998</v>
      </c>
      <c r="M121" s="54">
        <f t="shared" si="121"/>
        <v>2499.777</v>
      </c>
      <c r="N121" s="54">
        <f ca="1">N115*N122</f>
        <v>2448.3000000000002</v>
      </c>
      <c r="O121" s="54">
        <f ca="1">O115*O122</f>
        <v>2583.9899999999998</v>
      </c>
      <c r="P121" s="54">
        <f ca="1">P115*P122</f>
        <v>2767.7484000000004</v>
      </c>
      <c r="Q121" s="54">
        <f ca="1">Q115*Q122</f>
        <v>2944.7086173792195</v>
      </c>
      <c r="R121" s="54">
        <f ca="1">R115*R122</f>
        <v>3108.280709520001</v>
      </c>
    </row>
    <row r="122" spans="2:22" x14ac:dyDescent="0.3">
      <c r="B122" s="44" t="s">
        <v>13</v>
      </c>
      <c r="C122" s="44"/>
      <c r="D122" s="45">
        <f t="shared" ref="D122:M122" si="122">D121/D35</f>
        <v>0.17331425079943294</v>
      </c>
      <c r="E122" s="45">
        <f t="shared" si="122"/>
        <v>0.1831826759347413</v>
      </c>
      <c r="F122" s="45">
        <f t="shared" si="122"/>
        <v>0.18719257008109297</v>
      </c>
      <c r="G122" s="45">
        <f t="shared" si="122"/>
        <v>0.214225870421939</v>
      </c>
      <c r="H122" s="45">
        <f t="shared" si="122"/>
        <v>0.22381295585952893</v>
      </c>
      <c r="I122" s="45">
        <f t="shared" si="122"/>
        <v>0.18533721622061852</v>
      </c>
      <c r="J122" s="45">
        <f t="shared" si="122"/>
        <v>0.2210638752539911</v>
      </c>
      <c r="K122" s="45">
        <f t="shared" si="122"/>
        <v>0.21375650729090298</v>
      </c>
      <c r="L122" s="45">
        <f t="shared" si="122"/>
        <v>0.22950204786679412</v>
      </c>
      <c r="M122" s="45">
        <f t="shared" si="122"/>
        <v>0.23609248699911581</v>
      </c>
      <c r="N122" s="45">
        <f ca="1">OFFSET(N122,$D$12,0)</f>
        <v>0.21809581499759481</v>
      </c>
      <c r="O122" s="45">
        <f ca="1">OFFSET(O122,$D$12,0)</f>
        <v>0.21531455712023992</v>
      </c>
      <c r="P122" s="45">
        <f t="shared" ref="P122:R122" ca="1" si="123">OFFSET(P122,$D$12,0)</f>
        <v>0.21354303808015995</v>
      </c>
      <c r="Q122" s="45">
        <f t="shared" ca="1" si="123"/>
        <v>0.21088575952003999</v>
      </c>
      <c r="R122" s="45">
        <f t="shared" ca="1" si="123"/>
        <v>0.21</v>
      </c>
    </row>
    <row r="123" spans="2:22" x14ac:dyDescent="0.3">
      <c r="B123" s="2" t="s">
        <v>8</v>
      </c>
      <c r="N123" s="49">
        <f>N124</f>
        <v>0.21809581499759481</v>
      </c>
      <c r="O123" s="49">
        <f>N123*$H$12</f>
        <v>0.19628623349783533</v>
      </c>
      <c r="P123" s="49">
        <f t="shared" ref="P123:R123" si="124">O123*$H$12</f>
        <v>0.17665761014805181</v>
      </c>
      <c r="Q123" s="49">
        <f t="shared" si="124"/>
        <v>0.15899184913324663</v>
      </c>
      <c r="R123" s="49">
        <f t="shared" si="124"/>
        <v>0.14309266421992198</v>
      </c>
    </row>
    <row r="124" spans="2:22" x14ac:dyDescent="0.3">
      <c r="B124" s="2" t="s">
        <v>9</v>
      </c>
      <c r="J124" s="56"/>
      <c r="N124" s="49">
        <f>N56</f>
        <v>0.21809581499759481</v>
      </c>
      <c r="O124" s="49">
        <f>O56</f>
        <v>0.21531455712023992</v>
      </c>
      <c r="P124" s="49">
        <f>O124+(($R$124-$O$124)/($R$114-O114))</f>
        <v>0.21354303808015995</v>
      </c>
      <c r="Q124" s="49">
        <f>P124+(($R$124-$O$124)/($R$114-P114))</f>
        <v>0.21088575952003999</v>
      </c>
      <c r="R124" s="49">
        <f>L13</f>
        <v>0.21</v>
      </c>
    </row>
    <row r="125" spans="2:22" x14ac:dyDescent="0.3">
      <c r="B125" s="2" t="s">
        <v>112</v>
      </c>
      <c r="I125" s="56"/>
      <c r="K125" s="56"/>
      <c r="N125" s="49">
        <f>N124</f>
        <v>0.21809581499759481</v>
      </c>
      <c r="O125" s="49">
        <f>O124*$P$12</f>
        <v>0.23684601283226392</v>
      </c>
      <c r="P125" s="49">
        <f t="shared" ref="P125:R125" si="125">P124*$P$12</f>
        <v>0.23489734188817596</v>
      </c>
      <c r="Q125" s="49">
        <f t="shared" si="125"/>
        <v>0.23197433547204402</v>
      </c>
      <c r="R125" s="49">
        <f t="shared" si="125"/>
        <v>0.23100000000000001</v>
      </c>
    </row>
    <row r="127" spans="2:22" x14ac:dyDescent="0.3">
      <c r="B127" s="2" t="s">
        <v>14</v>
      </c>
      <c r="D127" s="54">
        <f t="shared" ref="D127:M127" si="126">D60</f>
        <v>102.44799999999999</v>
      </c>
      <c r="E127" s="54">
        <f t="shared" si="126"/>
        <v>119.348</v>
      </c>
      <c r="F127" s="54">
        <f t="shared" si="126"/>
        <v>201.33600000000001</v>
      </c>
      <c r="G127" s="54">
        <f t="shared" si="126"/>
        <v>231.44900000000001</v>
      </c>
      <c r="H127" s="54">
        <f t="shared" si="126"/>
        <v>251.797</v>
      </c>
      <c r="I127" s="54">
        <f t="shared" si="126"/>
        <v>230.43700000000001</v>
      </c>
      <c r="J127" s="54">
        <f t="shared" si="126"/>
        <v>358.54700000000003</v>
      </c>
      <c r="K127" s="54">
        <f t="shared" si="126"/>
        <v>477.77100000000002</v>
      </c>
      <c r="L127" s="54">
        <f t="shared" si="126"/>
        <v>625.54499999999996</v>
      </c>
      <c r="M127" s="54">
        <f t="shared" si="126"/>
        <v>761.46100000000001</v>
      </c>
      <c r="N127" s="54">
        <f ca="1">N128*N121</f>
        <v>730.41518935495037</v>
      </c>
      <c r="O127" s="54">
        <f ca="1">O128*O121</f>
        <v>779.7294600765689</v>
      </c>
      <c r="P127" s="54">
        <f ca="1">P128*P121</f>
        <v>853.41975857479338</v>
      </c>
      <c r="Q127" s="54">
        <f ca="1">Q128*Q121</f>
        <v>878.42615862845128</v>
      </c>
      <c r="R127" s="54">
        <f ca="1">R128*R121</f>
        <v>933.93276693905398</v>
      </c>
    </row>
    <row r="128" spans="2:22" x14ac:dyDescent="0.3">
      <c r="B128" s="44" t="s">
        <v>111</v>
      </c>
      <c r="D128" s="56">
        <f>D61</f>
        <v>0.27801734080516693</v>
      </c>
      <c r="E128" s="56">
        <f t="shared" ref="E128:M128" si="127">E61</f>
        <v>0.28232744855451131</v>
      </c>
      <c r="F128" s="56">
        <f t="shared" si="127"/>
        <v>0.43768885951678055</v>
      </c>
      <c r="G128" s="56">
        <f t="shared" si="127"/>
        <v>0.32359175113596644</v>
      </c>
      <c r="H128" s="56">
        <f t="shared" si="127"/>
        <v>0.28058721206873688</v>
      </c>
      <c r="I128" s="56">
        <f t="shared" si="127"/>
        <v>0.28124366876182338</v>
      </c>
      <c r="J128" s="56">
        <f t="shared" si="127"/>
        <v>0.2688022586925703</v>
      </c>
      <c r="K128" s="56">
        <f t="shared" si="127"/>
        <v>0.35853324138075948</v>
      </c>
      <c r="L128" s="56">
        <f t="shared" si="127"/>
        <v>0.28750973808850799</v>
      </c>
      <c r="M128" s="56">
        <f t="shared" si="127"/>
        <v>0.29558937873363256</v>
      </c>
      <c r="N128" s="49">
        <f>AVERAGE(I128:M128)</f>
        <v>0.29833565713145871</v>
      </c>
      <c r="O128" s="49">
        <f t="shared" ref="O128:R128" si="128">AVERAGE(J128:N128)</f>
        <v>0.30175405480538586</v>
      </c>
      <c r="P128" s="49">
        <f t="shared" si="128"/>
        <v>0.30834441402794893</v>
      </c>
      <c r="Q128" s="49">
        <f t="shared" si="128"/>
        <v>0.29830664855738681</v>
      </c>
      <c r="R128" s="49">
        <f t="shared" si="128"/>
        <v>0.30046603065116256</v>
      </c>
    </row>
    <row r="129" spans="2:18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2:18" x14ac:dyDescent="0.3">
      <c r="B130" s="122" t="s">
        <v>247</v>
      </c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4">
        <f ca="1">N121-N127</f>
        <v>1717.8848106450498</v>
      </c>
      <c r="O130" s="124">
        <f ca="1">O121-O127</f>
        <v>1804.2605399234308</v>
      </c>
      <c r="P130" s="124">
        <f ca="1">P121-P127</f>
        <v>1914.328641425207</v>
      </c>
      <c r="Q130" s="124">
        <f ca="1">Q121-Q127</f>
        <v>2066.2824587507685</v>
      </c>
      <c r="R130" s="125">
        <f ca="1">R121-R127</f>
        <v>2174.3479425809469</v>
      </c>
    </row>
    <row r="132" spans="2:18" x14ac:dyDescent="0.3">
      <c r="B132" s="2" t="s">
        <v>59</v>
      </c>
      <c r="D132" s="54">
        <f t="shared" ref="D132:M132" si="129">D77</f>
        <v>73.382999999999996</v>
      </c>
      <c r="E132" s="54">
        <f t="shared" si="129"/>
        <v>87.697000000000003</v>
      </c>
      <c r="F132" s="54">
        <f t="shared" si="129"/>
        <v>108.235</v>
      </c>
      <c r="G132" s="54">
        <f t="shared" si="129"/>
        <v>122.48399999999999</v>
      </c>
      <c r="H132" s="54">
        <f t="shared" si="129"/>
        <v>161.93299999999999</v>
      </c>
      <c r="I132" s="54">
        <f t="shared" si="129"/>
        <v>185.47800000000001</v>
      </c>
      <c r="J132" s="54">
        <f t="shared" si="129"/>
        <v>224.20599999999999</v>
      </c>
      <c r="K132" s="54">
        <f t="shared" si="129"/>
        <v>291.791</v>
      </c>
      <c r="L132" s="54">
        <f t="shared" si="129"/>
        <v>379.38400000000001</v>
      </c>
      <c r="M132" s="54">
        <f t="shared" si="129"/>
        <v>446.524</v>
      </c>
      <c r="N132" s="54">
        <f>N77</f>
        <v>434.86405639209198</v>
      </c>
      <c r="O132" s="54">
        <f t="shared" ref="O132:R132" si="130">O77</f>
        <v>464.89368604121722</v>
      </c>
      <c r="P132" s="54">
        <f t="shared" si="130"/>
        <v>493.23046892090645</v>
      </c>
      <c r="Q132" s="54">
        <f t="shared" si="130"/>
        <v>509.7405671619502</v>
      </c>
      <c r="R132" s="54">
        <f t="shared" si="130"/>
        <v>554.10709816961673</v>
      </c>
    </row>
    <row r="133" spans="2:18" x14ac:dyDescent="0.3">
      <c r="B133" s="44" t="s">
        <v>13</v>
      </c>
      <c r="D133" s="45">
        <f t="shared" ref="D133:M133" si="131">D132/D35</f>
        <v>3.561377378461681E-2</v>
      </c>
      <c r="E133" s="45">
        <f t="shared" si="131"/>
        <v>3.7407140102849699E-2</v>
      </c>
      <c r="F133" s="45">
        <f t="shared" si="131"/>
        <v>4.0856023050142666E-2</v>
      </c>
      <c r="G133" s="45">
        <f t="shared" si="131"/>
        <v>3.7248211016023686E-2</v>
      </c>
      <c r="H133" s="45">
        <f t="shared" si="131"/>
        <v>4.0693881530803437E-2</v>
      </c>
      <c r="I133" s="45">
        <f t="shared" si="131"/>
        <v>4.2136096880445832E-2</v>
      </c>
      <c r="J133" s="45">
        <f t="shared" si="131"/>
        <v>3.5835020746834909E-2</v>
      </c>
      <c r="K133" s="45">
        <f t="shared" si="131"/>
        <v>3.5976863623260559E-2</v>
      </c>
      <c r="L133" s="45">
        <f t="shared" si="131"/>
        <v>3.9439966284371866E-2</v>
      </c>
      <c r="M133" s="45">
        <f t="shared" si="131"/>
        <v>4.2172146421378058E-2</v>
      </c>
      <c r="N133" s="49">
        <f>AVERAGE($K$133:$M$133)</f>
        <v>3.9196325443003499E-2</v>
      </c>
      <c r="O133" s="49">
        <f t="shared" ref="O133:R133" si="132">AVERAGE($K$133:$M$133)</f>
        <v>3.9196325443003499E-2</v>
      </c>
      <c r="P133" s="49">
        <f t="shared" si="132"/>
        <v>3.9196325443003499E-2</v>
      </c>
      <c r="Q133" s="49">
        <f t="shared" si="132"/>
        <v>3.9196325443003499E-2</v>
      </c>
      <c r="R133" s="49">
        <f t="shared" si="132"/>
        <v>3.9196325443003499E-2</v>
      </c>
    </row>
    <row r="135" spans="2:18" x14ac:dyDescent="0.3">
      <c r="B135" s="2" t="s">
        <v>60</v>
      </c>
      <c r="D135" s="57">
        <f t="shared" ref="D135:M135" si="133">D94</f>
        <v>143.48699999999999</v>
      </c>
      <c r="E135" s="57">
        <f t="shared" si="133"/>
        <v>149.511</v>
      </c>
      <c r="F135" s="57">
        <f t="shared" si="133"/>
        <v>157.864</v>
      </c>
      <c r="G135" s="57">
        <f t="shared" si="133"/>
        <v>225.80699999999999</v>
      </c>
      <c r="H135" s="57">
        <f t="shared" si="133"/>
        <v>283.048</v>
      </c>
      <c r="I135" s="57">
        <f t="shared" si="133"/>
        <v>229.226</v>
      </c>
      <c r="J135" s="57">
        <f t="shared" si="133"/>
        <v>394.50200000000001</v>
      </c>
      <c r="K135" s="57">
        <f t="shared" si="133"/>
        <v>638.65700000000004</v>
      </c>
      <c r="L135" s="57">
        <f t="shared" si="133"/>
        <v>651.86500000000001</v>
      </c>
      <c r="M135" s="57">
        <f t="shared" si="133"/>
        <v>689.23199999999997</v>
      </c>
      <c r="N135" s="54">
        <f>N94</f>
        <v>757.29100000000005</v>
      </c>
      <c r="O135" s="54">
        <f t="shared" ref="O135:R135" si="134">O94</f>
        <v>806.81299999999999</v>
      </c>
      <c r="P135" s="54">
        <f t="shared" si="134"/>
        <v>827.47699999999998</v>
      </c>
      <c r="Q135" s="54">
        <f t="shared" si="134"/>
        <v>860.303</v>
      </c>
      <c r="R135" s="54">
        <f t="shared" si="134"/>
        <v>787</v>
      </c>
    </row>
    <row r="136" spans="2:18" x14ac:dyDescent="0.3">
      <c r="B136" s="44" t="s">
        <v>13</v>
      </c>
      <c r="D136" s="45">
        <f t="shared" ref="D136:M136" si="135">D135/D35</f>
        <v>6.9636204012282307E-2</v>
      </c>
      <c r="E136" s="45">
        <f t="shared" si="135"/>
        <v>6.3773891055762005E-2</v>
      </c>
      <c r="F136" s="45">
        <f t="shared" si="135"/>
        <v>5.9589737356564164E-2</v>
      </c>
      <c r="G136" s="45">
        <f t="shared" si="135"/>
        <v>6.8669432618915616E-2</v>
      </c>
      <c r="H136" s="45">
        <f t="shared" si="135"/>
        <v>7.1130169758670869E-2</v>
      </c>
      <c r="I136" s="45">
        <f t="shared" si="135"/>
        <v>5.2074579969144996E-2</v>
      </c>
      <c r="J136" s="45">
        <f t="shared" si="135"/>
        <v>6.3053563930795184E-2</v>
      </c>
      <c r="K136" s="45">
        <f t="shared" si="135"/>
        <v>7.8744292288112805E-2</v>
      </c>
      <c r="L136" s="45">
        <f t="shared" si="135"/>
        <v>6.7766520522642135E-2</v>
      </c>
      <c r="M136" s="45">
        <f t="shared" si="135"/>
        <v>6.5094805256378702E-2</v>
      </c>
      <c r="N136" s="49">
        <f>AVERAGE($K$136:$M$136)</f>
        <v>7.053520602237788E-2</v>
      </c>
      <c r="O136" s="49">
        <f t="shared" ref="O136:R136" si="136">AVERAGE($K$136:$M$136)</f>
        <v>7.053520602237788E-2</v>
      </c>
      <c r="P136" s="49">
        <f t="shared" si="136"/>
        <v>7.053520602237788E-2</v>
      </c>
      <c r="Q136" s="49">
        <f t="shared" si="136"/>
        <v>7.053520602237788E-2</v>
      </c>
      <c r="R136" s="49">
        <f t="shared" si="136"/>
        <v>7.053520602237788E-2</v>
      </c>
    </row>
    <row r="138" spans="2:18" x14ac:dyDescent="0.3">
      <c r="B138" s="2" t="s">
        <v>61</v>
      </c>
      <c r="D138" s="54">
        <f t="shared" ref="D138:N138" si="137">D110</f>
        <v>59.743000000000002</v>
      </c>
      <c r="E138" s="54">
        <f t="shared" si="137"/>
        <v>-0.60299999999999998</v>
      </c>
      <c r="F138" s="54">
        <f t="shared" si="137"/>
        <v>-104.628</v>
      </c>
      <c r="G138" s="54">
        <f t="shared" si="137"/>
        <v>-112.875</v>
      </c>
      <c r="H138" s="54">
        <f t="shared" si="137"/>
        <v>194.071</v>
      </c>
      <c r="I138" s="54">
        <f t="shared" si="137"/>
        <v>47.548999999999999</v>
      </c>
      <c r="J138" s="54">
        <f t="shared" si="137"/>
        <v>-129.131</v>
      </c>
      <c r="K138" s="54">
        <f t="shared" si="137"/>
        <v>596.99199999999996</v>
      </c>
      <c r="L138" s="54">
        <f t="shared" si="137"/>
        <v>-199.22300000000001</v>
      </c>
      <c r="M138" s="54">
        <f t="shared" si="137"/>
        <v>51.895000000000003</v>
      </c>
      <c r="N138" s="54">
        <f t="shared" si="137"/>
        <v>216.27467214330659</v>
      </c>
      <c r="O138" s="54">
        <f t="shared" ref="O138:R138" si="138">O110</f>
        <v>231.20956550017127</v>
      </c>
      <c r="P138" s="54">
        <f t="shared" si="138"/>
        <v>245.30254084917343</v>
      </c>
      <c r="Q138" s="54">
        <f t="shared" si="138"/>
        <v>253.51364965812041</v>
      </c>
      <c r="R138" s="54">
        <f t="shared" si="138"/>
        <v>275.57883717310631</v>
      </c>
    </row>
    <row r="139" spans="2:18" x14ac:dyDescent="0.3">
      <c r="B139" s="44" t="s">
        <v>13</v>
      </c>
      <c r="D139" s="45">
        <f t="shared" ref="D139:M139" si="139">D138/D35</f>
        <v>2.8994095188454579E-2</v>
      </c>
      <c r="E139" s="45">
        <f t="shared" si="139"/>
        <v>-2.5720954516138939E-4</v>
      </c>
      <c r="F139" s="45">
        <f t="shared" si="139"/>
        <v>-3.9494470177764369E-2</v>
      </c>
      <c r="G139" s="45">
        <f t="shared" si="139"/>
        <v>-3.4326049267117943E-2</v>
      </c>
      <c r="H139" s="45">
        <f t="shared" si="139"/>
        <v>4.8770184474841778E-2</v>
      </c>
      <c r="I139" s="45">
        <f t="shared" si="139"/>
        <v>1.0801977973497226E-2</v>
      </c>
      <c r="J139" s="45">
        <f t="shared" si="139"/>
        <v>-2.0639108962559157E-2</v>
      </c>
      <c r="K139" s="45">
        <f t="shared" si="139"/>
        <v>7.3607135820424788E-2</v>
      </c>
      <c r="L139" s="45">
        <f t="shared" si="139"/>
        <v>-2.0710805946142736E-2</v>
      </c>
      <c r="M139" s="45">
        <f t="shared" si="139"/>
        <v>4.9012450361848739E-3</v>
      </c>
      <c r="N139" s="49">
        <f>AVERAGE($K$139:$M$139)</f>
        <v>1.9265858303488977E-2</v>
      </c>
      <c r="O139" s="49">
        <f t="shared" ref="O139:R139" si="140">AVERAGE($K$139:$M$139)</f>
        <v>1.9265858303488977E-2</v>
      </c>
      <c r="P139" s="49">
        <f t="shared" si="140"/>
        <v>1.9265858303488977E-2</v>
      </c>
      <c r="Q139" s="49">
        <f t="shared" si="140"/>
        <v>1.9265858303488977E-2</v>
      </c>
      <c r="R139" s="49">
        <f t="shared" si="140"/>
        <v>1.9265858303488977E-2</v>
      </c>
    </row>
    <row r="141" spans="2:18" x14ac:dyDescent="0.3">
      <c r="B141" s="68" t="s">
        <v>113</v>
      </c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70">
        <f ca="1">N130+N132-N135-N138</f>
        <v>1179.183194893835</v>
      </c>
      <c r="O141" s="70">
        <f t="shared" ref="O141:Q141" ca="1" si="141">O130+O132-O135-O138</f>
        <v>1231.1316604644767</v>
      </c>
      <c r="P141" s="70">
        <f t="shared" ca="1" si="141"/>
        <v>1334.77956949694</v>
      </c>
      <c r="Q141" s="70">
        <f t="shared" ca="1" si="141"/>
        <v>1462.2063762545986</v>
      </c>
      <c r="R141" s="71">
        <f ca="1">R130+R132-R135-R138</f>
        <v>1665.8762035774571</v>
      </c>
    </row>
    <row r="142" spans="2:18" x14ac:dyDescent="0.3">
      <c r="B142" s="72" t="s">
        <v>114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73">
        <f ca="1">(N141*N144)/(1+WACC)^N145</f>
        <v>49.050022261805303</v>
      </c>
      <c r="O142" s="73">
        <f ca="1">O141/(1+WACC)^O145</f>
        <v>1180.4123181640255</v>
      </c>
      <c r="P142" s="73">
        <f ca="1">P141/(1+WACC)^P145</f>
        <v>1180.4807533432661</v>
      </c>
      <c r="Q142" s="73">
        <f ca="1">Q141/(1+WACC)^Q145</f>
        <v>1192.8289219061423</v>
      </c>
      <c r="R142" s="74">
        <f ca="1">R141/(1+WACC)^R145</f>
        <v>1253.5230924873124</v>
      </c>
    </row>
    <row r="144" spans="2:18" x14ac:dyDescent="0.3">
      <c r="B144" s="2" t="s">
        <v>134</v>
      </c>
      <c r="N144" s="66">
        <f ca="1">YEARFRAC(C5,C6)</f>
        <v>4.1666666666666664E-2</v>
      </c>
      <c r="O144" s="66">
        <f ca="1">N144+1</f>
        <v>1.0416666666666667</v>
      </c>
      <c r="P144" s="66">
        <f t="shared" ref="P144:R144" ca="1" si="142">O144+1</f>
        <v>2.041666666666667</v>
      </c>
      <c r="Q144" s="66">
        <f t="shared" ca="1" si="142"/>
        <v>3.041666666666667</v>
      </c>
      <c r="R144" s="66">
        <f t="shared" ca="1" si="142"/>
        <v>4.041666666666667</v>
      </c>
    </row>
    <row r="145" spans="2:20" x14ac:dyDescent="0.3">
      <c r="B145" s="2" t="s">
        <v>135</v>
      </c>
      <c r="N145" s="66">
        <f ca="1">N144/2</f>
        <v>2.0833333333333332E-2</v>
      </c>
      <c r="O145" s="66">
        <f ca="1">O144/2</f>
        <v>0.52083333333333337</v>
      </c>
      <c r="P145" s="66">
        <f ca="1">O145+1</f>
        <v>1.5208333333333335</v>
      </c>
      <c r="Q145" s="66">
        <f t="shared" ref="Q145:R145" ca="1" si="143">P145+1</f>
        <v>2.5208333333333335</v>
      </c>
      <c r="R145" s="66">
        <f t="shared" ca="1" si="143"/>
        <v>3.5208333333333335</v>
      </c>
    </row>
    <row r="147" spans="2:20" x14ac:dyDescent="0.3">
      <c r="B147" s="2" t="s">
        <v>139</v>
      </c>
      <c r="R147" s="47">
        <f ca="1">(R141*(1+TGR))/(WACC-TGR)</f>
        <v>28879.257438170218</v>
      </c>
      <c r="T147" s="47"/>
    </row>
    <row r="148" spans="2:20" x14ac:dyDescent="0.3">
      <c r="B148" s="2" t="s">
        <v>140</v>
      </c>
      <c r="R148" s="47">
        <f ca="1">R147/(1+WACC)^R145</f>
        <v>21730.796090904812</v>
      </c>
    </row>
    <row r="149" spans="2:20" x14ac:dyDescent="0.3">
      <c r="B149" s="2" t="s">
        <v>141</v>
      </c>
      <c r="R149" s="47">
        <f ca="1">SUM(N142:R142)+R148</f>
        <v>26587.091199067363</v>
      </c>
    </row>
    <row r="150" spans="2:20" x14ac:dyDescent="0.3">
      <c r="B150" s="2" t="s">
        <v>142</v>
      </c>
      <c r="R150" s="47">
        <f>BS!K10</f>
        <v>1984.336</v>
      </c>
    </row>
    <row r="151" spans="2:20" x14ac:dyDescent="0.3">
      <c r="B151" s="2" t="s">
        <v>143</v>
      </c>
      <c r="R151" s="47">
        <f>WACC!F14</f>
        <v>1575.8</v>
      </c>
    </row>
    <row r="152" spans="2:20" x14ac:dyDescent="0.3">
      <c r="B152" s="2" t="s">
        <v>144</v>
      </c>
      <c r="R152" s="47">
        <f ca="1">R149+R150-R151</f>
        <v>26995.627199067363</v>
      </c>
    </row>
    <row r="154" spans="2:20" x14ac:dyDescent="0.3">
      <c r="B154" s="2" t="s">
        <v>145</v>
      </c>
      <c r="R154" s="47">
        <f>Shares!E14</f>
        <v>116.370231</v>
      </c>
    </row>
    <row r="155" spans="2:20" x14ac:dyDescent="0.3">
      <c r="B155" s="2" t="s">
        <v>146</v>
      </c>
      <c r="R155" s="77">
        <f ca="1">R152/R154</f>
        <v>231.9805242894754</v>
      </c>
    </row>
    <row r="156" spans="2:20" x14ac:dyDescent="0.3">
      <c r="R156" s="77"/>
    </row>
    <row r="157" spans="2:20" x14ac:dyDescent="0.3">
      <c r="B157" s="167" t="s">
        <v>244</v>
      </c>
      <c r="C157" s="167"/>
      <c r="D157" s="167"/>
      <c r="E157" s="167"/>
      <c r="F157" s="167"/>
      <c r="G157" s="167"/>
      <c r="H157" s="167"/>
    </row>
    <row r="158" spans="2:20" x14ac:dyDescent="0.3">
      <c r="D158" s="167" t="s">
        <v>243</v>
      </c>
      <c r="E158" s="167"/>
      <c r="F158" s="167"/>
      <c r="G158" s="167"/>
      <c r="H158" s="167"/>
    </row>
    <row r="159" spans="2:20" x14ac:dyDescent="0.3">
      <c r="C159" s="77">
        <f ca="1">R155</f>
        <v>231.9805242894754</v>
      </c>
      <c r="D159" s="115">
        <f>E159-0.5%</f>
        <v>1.4999999999999999E-2</v>
      </c>
      <c r="E159" s="115">
        <f>F159-0.5%</f>
        <v>0.02</v>
      </c>
      <c r="F159" s="115">
        <f>TGR</f>
        <v>2.5000000000000001E-2</v>
      </c>
      <c r="G159" s="115">
        <f>F159+0.5%</f>
        <v>3.0000000000000002E-2</v>
      </c>
      <c r="H159" s="115">
        <f>G159+0.5%</f>
        <v>3.5000000000000003E-2</v>
      </c>
    </row>
    <row r="160" spans="2:20" x14ac:dyDescent="0.3">
      <c r="B160" s="166" t="s">
        <v>5</v>
      </c>
      <c r="C160" s="114">
        <f>C161-0.5%</f>
        <v>7.4126281633890984E-2</v>
      </c>
      <c r="D160" s="66">
        <f t="dataTable" ref="D160:H164" dt2D="1" dtr="1" r1="D19" r2="D18" ca="1"/>
        <v>237.08410106165823</v>
      </c>
      <c r="E160" s="66">
        <v>221.32001261550937</v>
      </c>
      <c r="F160" s="66">
        <v>221.32001261550937</v>
      </c>
      <c r="G160" s="66">
        <v>237.08410106165823</v>
      </c>
      <c r="H160" s="66">
        <v>278.23895104329898</v>
      </c>
    </row>
    <row r="161" spans="2:8" x14ac:dyDescent="0.3">
      <c r="B161" s="166"/>
      <c r="C161" s="114">
        <f>C162-0.5%</f>
        <v>7.9126281633890988E-2</v>
      </c>
      <c r="D161" s="66">
        <v>258.59587347214773</v>
      </c>
      <c r="E161" s="116">
        <v>239.69835464625223</v>
      </c>
      <c r="F161" s="116">
        <v>239.69835464625223</v>
      </c>
      <c r="G161" s="116">
        <v>258.59587347214773</v>
      </c>
      <c r="H161" s="66">
        <v>309.23870939256608</v>
      </c>
    </row>
    <row r="162" spans="2:8" x14ac:dyDescent="0.3">
      <c r="B162" s="166"/>
      <c r="C162" s="115">
        <f>WACC</f>
        <v>8.4126281633890992E-2</v>
      </c>
      <c r="D162" s="66">
        <v>258.59587347214773</v>
      </c>
      <c r="E162" s="116">
        <v>239.69835464625223</v>
      </c>
      <c r="F162" s="117">
        <v>239.69835464625223</v>
      </c>
      <c r="G162" s="116">
        <v>258.59587347214773</v>
      </c>
      <c r="H162" s="66">
        <v>309.23870939256608</v>
      </c>
    </row>
    <row r="163" spans="2:8" x14ac:dyDescent="0.3">
      <c r="B163" s="166"/>
      <c r="C163" s="114">
        <f>C162+0.5%</f>
        <v>8.9126281633890997E-2</v>
      </c>
      <c r="D163" s="66">
        <v>237.08410106165823</v>
      </c>
      <c r="E163" s="116">
        <v>221.32001261550937</v>
      </c>
      <c r="F163" s="116">
        <v>221.32001261550937</v>
      </c>
      <c r="G163" s="116">
        <v>237.08410106165823</v>
      </c>
      <c r="H163" s="66">
        <v>278.23895104329898</v>
      </c>
    </row>
    <row r="164" spans="2:8" x14ac:dyDescent="0.3">
      <c r="B164" s="166"/>
      <c r="C164" s="114">
        <f>C163+0.5%</f>
        <v>9.4126281633891001E-2</v>
      </c>
      <c r="D164" s="66">
        <v>203.4081354844439</v>
      </c>
      <c r="E164" s="66">
        <v>192.01285792429897</v>
      </c>
      <c r="F164" s="66">
        <v>192.01285792429897</v>
      </c>
      <c r="G164" s="66">
        <v>203.4081354844439</v>
      </c>
      <c r="H164" s="66">
        <v>231.9805242894754</v>
      </c>
    </row>
  </sheetData>
  <mergeCells count="4">
    <mergeCell ref="B2:C2"/>
    <mergeCell ref="B160:B164"/>
    <mergeCell ref="D158:H158"/>
    <mergeCell ref="B157:H1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1B13-617F-434C-834D-A31A587A7FA0}">
  <dimension ref="A2:R52"/>
  <sheetViews>
    <sheetView showGridLines="0" workbookViewId="0">
      <selection activeCell="R39" sqref="R39"/>
    </sheetView>
  </sheetViews>
  <sheetFormatPr defaultColWidth="9" defaultRowHeight="15.6" x14ac:dyDescent="0.3"/>
  <cols>
    <col min="1" max="1" width="3.59765625" style="2" customWidth="1"/>
    <col min="2" max="2" width="14.8984375" style="2" bestFit="1" customWidth="1"/>
    <col min="3" max="3" width="9" style="2"/>
    <col min="4" max="18" width="15.5" style="2" customWidth="1"/>
    <col min="19" max="16384" width="9" style="2"/>
  </cols>
  <sheetData>
    <row r="2" spans="1:18" s="1" customFormat="1" ht="21" x14ac:dyDescent="0.4">
      <c r="B2" s="141" t="s">
        <v>281</v>
      </c>
    </row>
    <row r="3" spans="1:18" ht="15.75" customHeight="1" x14ac:dyDescent="0.3"/>
    <row r="4" spans="1:18" x14ac:dyDescent="0.3">
      <c r="A4" s="2" t="s">
        <v>11</v>
      </c>
      <c r="B4" s="139" t="s">
        <v>0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5.75" customHeight="1" x14ac:dyDescent="0.3">
      <c r="B5" s="2" t="s">
        <v>5</v>
      </c>
      <c r="D5" s="61">
        <f>WACC</f>
        <v>8.4126281633890992E-2</v>
      </c>
    </row>
    <row r="6" spans="1:18" ht="15.75" customHeight="1" x14ac:dyDescent="0.3">
      <c r="B6" s="2" t="s">
        <v>6</v>
      </c>
      <c r="D6" s="61">
        <f>TGR</f>
        <v>2.5000000000000001E-2</v>
      </c>
    </row>
    <row r="7" spans="1:18" ht="15.75" customHeight="1" x14ac:dyDescent="0.3"/>
    <row r="8" spans="1:18" ht="15.75" customHeight="1" x14ac:dyDescent="0.3"/>
    <row r="9" spans="1:18" x14ac:dyDescent="0.3">
      <c r="A9" s="51" t="s">
        <v>11</v>
      </c>
      <c r="B9" s="139" t="s">
        <v>1</v>
      </c>
      <c r="C9" s="139"/>
      <c r="D9" s="139">
        <v>2015</v>
      </c>
      <c r="E9" s="139">
        <v>2016</v>
      </c>
      <c r="F9" s="139">
        <v>2017</v>
      </c>
      <c r="G9" s="139">
        <v>2018</v>
      </c>
      <c r="H9" s="139">
        <v>2019</v>
      </c>
      <c r="I9" s="139">
        <v>2020</v>
      </c>
      <c r="J9" s="139">
        <v>2021</v>
      </c>
      <c r="K9" s="139">
        <v>2022</v>
      </c>
      <c r="L9" s="139">
        <v>2023</v>
      </c>
      <c r="M9" s="139">
        <v>2024</v>
      </c>
      <c r="N9" s="139">
        <v>2025</v>
      </c>
      <c r="O9" s="139">
        <v>2026</v>
      </c>
      <c r="P9" s="139">
        <v>2027</v>
      </c>
      <c r="Q9" s="139">
        <v>2028</v>
      </c>
      <c r="R9" s="139">
        <v>2029</v>
      </c>
    </row>
    <row r="10" spans="1:18" ht="3.75" customHeight="1" x14ac:dyDescent="0.3"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</row>
    <row r="11" spans="1:18" x14ac:dyDescent="0.3">
      <c r="A11" s="2" t="s">
        <v>11</v>
      </c>
      <c r="B11" s="2" t="s">
        <v>3</v>
      </c>
      <c r="D11" s="36">
        <f>'Company-operated store DCF'!D11+'Direct to Consumer DCF'!D11+'Other DCF'!D11</f>
        <v>2060.5230000000001</v>
      </c>
      <c r="E11" s="36">
        <f>'Company-operated store DCF'!E11+'Direct to Consumer DCF'!E11+'Other DCF'!E11</f>
        <v>2344.3919999999998</v>
      </c>
      <c r="F11" s="36">
        <f>'Company-operated store DCF'!F11+'Direct to Consumer DCF'!F11+'Other DCF'!F11</f>
        <v>2649.181</v>
      </c>
      <c r="G11" s="36">
        <f>'Company-operated store DCF'!G11+'Direct to Consumer DCF'!G11+'Other DCF'!G11</f>
        <v>3288.319</v>
      </c>
      <c r="H11" s="36">
        <f>'Company-operated store DCF'!H11+'Direct to Consumer DCF'!H11+'Other DCF'!H11</f>
        <v>3979.2960000000003</v>
      </c>
      <c r="I11" s="36">
        <f>'Company-operated store DCF'!I11+'Direct to Consumer DCF'!I11+'Other DCF'!I11</f>
        <v>4401.8789999999999</v>
      </c>
      <c r="J11" s="36">
        <f>'Company-operated store DCF'!J11+'Direct to Consumer DCF'!J11+'Other DCF'!J11</f>
        <v>6256.6170000000002</v>
      </c>
      <c r="K11" s="36">
        <f>'Company-operated store DCF'!K11+'Direct to Consumer DCF'!K11+'Other DCF'!K11</f>
        <v>8110.518</v>
      </c>
      <c r="L11" s="36">
        <f>'Company-operated store DCF'!L11+'Direct to Consumer DCF'!L11+'Other DCF'!L11</f>
        <v>9619.2780000000002</v>
      </c>
      <c r="M11" s="36">
        <f>'Company-operated store DCF'!M11+'Direct to Consumer DCF'!M11+'Other DCF'!M11</f>
        <v>10588.126</v>
      </c>
      <c r="N11" s="36">
        <f ca="1">'Company-operated store DCF'!N11+'Direct to Consumer DCF'!N11+'Other DCF'!N11</f>
        <v>11225.800000000001</v>
      </c>
      <c r="O11" s="36">
        <f ca="1">'Company-operated store DCF'!O11+'Direct to Consumer DCF'!O11+'Other DCF'!O11</f>
        <v>12001.000000000002</v>
      </c>
      <c r="P11" s="36">
        <f ca="1">'Company-operated store DCF'!P11+'Direct to Consumer DCF'!P11+'Other DCF'!P11</f>
        <v>12961.080000000002</v>
      </c>
      <c r="Q11" s="36">
        <f ca="1">'Company-operated store DCF'!Q11+'Direct to Consumer DCF'!Q11+'Other DCF'!Q11</f>
        <v>13963.525200000004</v>
      </c>
      <c r="R11" s="36">
        <f ca="1">'Company-operated store DCF'!R11+'Direct to Consumer DCF'!R11+'Other DCF'!R11</f>
        <v>14801.336712000006</v>
      </c>
    </row>
    <row r="12" spans="1:18" x14ac:dyDescent="0.3">
      <c r="B12" s="44" t="s">
        <v>12</v>
      </c>
      <c r="D12" s="36"/>
      <c r="E12" s="153">
        <f>E11/D11-1</f>
        <v>0.13776550904794549</v>
      </c>
      <c r="F12" s="153">
        <f t="shared" ref="F12:M12" si="0">F11/E11-1</f>
        <v>0.13000769495886355</v>
      </c>
      <c r="G12" s="153">
        <f t="shared" si="0"/>
        <v>0.24125871354203432</v>
      </c>
      <c r="H12" s="153">
        <f t="shared" si="0"/>
        <v>0.21013076894303762</v>
      </c>
      <c r="I12" s="153">
        <f t="shared" si="0"/>
        <v>0.10619541748088102</v>
      </c>
      <c r="J12" s="153">
        <f t="shared" si="0"/>
        <v>0.42135142742451581</v>
      </c>
      <c r="K12" s="153">
        <f t="shared" si="0"/>
        <v>0.29631045020016411</v>
      </c>
      <c r="L12" s="153">
        <f t="shared" si="0"/>
        <v>0.18602510961691965</v>
      </c>
      <c r="M12" s="153">
        <f t="shared" si="0"/>
        <v>0.1007194095024595</v>
      </c>
      <c r="N12" s="153">
        <f ca="1">OFFSET(N12,DCF!$D$11,0)</f>
        <v>6.0225388326508256E-2</v>
      </c>
      <c r="O12" s="153">
        <f ca="1">OFFSET(O12,DCF!$D$11,0)</f>
        <v>6.905521210069665E-2</v>
      </c>
      <c r="P12" s="153">
        <f ca="1">OFFSET(P12,DCF!$D$11,0)</f>
        <v>0.14501594541146298</v>
      </c>
      <c r="Q12" s="153">
        <f ca="1">OFFSET(Q12,DCF!$D$11,0)</f>
        <v>0.30453348536407226</v>
      </c>
      <c r="R12" s="153">
        <f ca="1">OFFSET(R12,DCF!$D$11,0)</f>
        <v>0.63952031926455177</v>
      </c>
    </row>
    <row r="13" spans="1:18" x14ac:dyDescent="0.3">
      <c r="B13" s="2" t="s">
        <v>8</v>
      </c>
      <c r="N13" s="49">
        <v>6.0225388326508256E-2</v>
      </c>
      <c r="O13" s="49">
        <v>6.2149690890626989E-2</v>
      </c>
      <c r="P13" s="49">
        <v>0.13051435087031668</v>
      </c>
      <c r="Q13" s="49">
        <v>0.27408013682766502</v>
      </c>
      <c r="R13" s="49">
        <v>0.57556828733809662</v>
      </c>
    </row>
    <row r="14" spans="1:18" x14ac:dyDescent="0.3">
      <c r="B14" s="2" t="s">
        <v>9</v>
      </c>
      <c r="M14" s="126"/>
      <c r="N14" s="49">
        <v>6.0225388326508256E-2</v>
      </c>
      <c r="O14" s="49">
        <v>6.905521210069665E-2</v>
      </c>
      <c r="P14" s="49">
        <v>0.14501594541146298</v>
      </c>
      <c r="Q14" s="49">
        <v>0.30453348536407226</v>
      </c>
      <c r="R14" s="49">
        <v>0.63952031926455177</v>
      </c>
    </row>
    <row r="15" spans="1:18" x14ac:dyDescent="0.3">
      <c r="B15" s="2" t="s">
        <v>112</v>
      </c>
      <c r="N15" s="49">
        <v>6.0225388326508256E-2</v>
      </c>
      <c r="O15" s="49">
        <v>8.2866254520835972E-2</v>
      </c>
      <c r="P15" s="49">
        <v>0.17401913449375558</v>
      </c>
      <c r="Q15" s="49">
        <v>0.3654401824368867</v>
      </c>
      <c r="R15" s="49">
        <v>0.76742438311746208</v>
      </c>
    </row>
    <row r="17" spans="2:18" x14ac:dyDescent="0.3">
      <c r="B17" s="2" t="s">
        <v>4</v>
      </c>
      <c r="D17" s="36">
        <f>'Company-operated store DCF'!D17+'Direct to Consumer DCF'!D17+'Other DCF'!D17</f>
        <v>357.11799999999994</v>
      </c>
      <c r="E17" s="36">
        <f>'Company-operated store DCF'!E17+'Direct to Consumer DCF'!E17+'Other DCF'!E17</f>
        <v>429.452</v>
      </c>
      <c r="F17" s="36">
        <f>'Company-operated store DCF'!F17+'Direct to Consumer DCF'!F17+'Other DCF'!F17</f>
        <v>495.90699999999998</v>
      </c>
      <c r="G17" s="36">
        <f>'Company-operated store DCF'!G17+'Direct to Consumer DCF'!G17+'Other DCF'!G17</f>
        <v>704.44299999999998</v>
      </c>
      <c r="H17" s="36">
        <f>'Company-operated store DCF'!H17+'Direct to Consumer DCF'!H17+'Other DCF'!H17</f>
        <v>890.61799999999994</v>
      </c>
      <c r="I17" s="36">
        <f>'Company-operated store DCF'!I17+'Direct to Consumer DCF'!I17+'Other DCF'!I17</f>
        <v>815.83199999999999</v>
      </c>
      <c r="J17" s="36">
        <f>'Company-operated store DCF'!J17+'Direct to Consumer DCF'!J17+'Other DCF'!J17</f>
        <v>1383.1120000000001</v>
      </c>
      <c r="K17" s="36">
        <f>'Company-operated store DCF'!K17+'Direct to Consumer DCF'!K17+'Other DCF'!K17</f>
        <v>1733.6759999999999</v>
      </c>
      <c r="L17" s="36">
        <f>'Company-operated store DCF'!L17+'Direct to Consumer DCF'!L17+'Other DCF'!L17</f>
        <v>2207.6439999999998</v>
      </c>
      <c r="M17" s="36">
        <f>'Company-operated store DCF'!M17+'Direct to Consumer DCF'!M17+'Other DCF'!M17</f>
        <v>2499.777</v>
      </c>
      <c r="N17" s="36">
        <f ca="1">'Company-operated store DCF'!N17+'Direct to Consumer DCF'!N17+'Other DCF'!N17</f>
        <v>2448.2999999999997</v>
      </c>
      <c r="O17" s="36">
        <f ca="1">'Company-operated store DCF'!O17+'Direct to Consumer DCF'!O17+'Other DCF'!O17</f>
        <v>2583.9899999999993</v>
      </c>
      <c r="P17" s="36">
        <f ca="1">'Company-operated store DCF'!P17+'Direct to Consumer DCF'!P17+'Other DCF'!P17</f>
        <v>2767.7484000000004</v>
      </c>
      <c r="Q17" s="36">
        <f ca="1">'Company-operated store DCF'!Q17+'Direct to Consumer DCF'!Q17+'Other DCF'!Q17</f>
        <v>2944.7086173792195</v>
      </c>
      <c r="R17" s="36">
        <f ca="1">'Company-operated store DCF'!R17+'Direct to Consumer DCF'!R17+'Other DCF'!R17</f>
        <v>3108.280709520001</v>
      </c>
    </row>
    <row r="18" spans="2:18" x14ac:dyDescent="0.3">
      <c r="B18" s="44" t="s">
        <v>13</v>
      </c>
      <c r="C18" s="44"/>
      <c r="D18" s="153"/>
      <c r="E18" s="153">
        <f>E17/E11</f>
        <v>0.1831826759347413</v>
      </c>
      <c r="F18" s="153">
        <f t="shared" ref="F18:M18" si="1">F17/F11</f>
        <v>0.18719257008109297</v>
      </c>
      <c r="G18" s="153">
        <f t="shared" si="1"/>
        <v>0.214225870421939</v>
      </c>
      <c r="H18" s="153">
        <f t="shared" si="1"/>
        <v>0.2238129558595289</v>
      </c>
      <c r="I18" s="153">
        <f t="shared" si="1"/>
        <v>0.18533721622061852</v>
      </c>
      <c r="J18" s="153">
        <f t="shared" si="1"/>
        <v>0.2210638752539911</v>
      </c>
      <c r="K18" s="153">
        <f t="shared" si="1"/>
        <v>0.21375650729090298</v>
      </c>
      <c r="L18" s="153">
        <f t="shared" si="1"/>
        <v>0.22950204786679412</v>
      </c>
      <c r="M18" s="153">
        <f t="shared" si="1"/>
        <v>0.23609248699911581</v>
      </c>
      <c r="N18" s="153">
        <f ca="1">OFFSET(N18,DCF!$D$11,0)</f>
        <v>0.21809581499759487</v>
      </c>
      <c r="O18" s="153">
        <f ca="1">OFFSET(O18,DCF!$D$11,0)</f>
        <v>0.20282910794776321</v>
      </c>
      <c r="P18" s="153">
        <f ca="1">OFFSET(P18,DCF!$D$11,0)</f>
        <v>0.18863107039141977</v>
      </c>
      <c r="Q18" s="153">
        <f ca="1">OFFSET(Q18,DCF!$D$11,0)</f>
        <v>0.17542689546402038</v>
      </c>
      <c r="R18" s="153">
        <f ca="1">OFFSET(R18,DCF!$D$11,0)</f>
        <v>0.16314701278153895</v>
      </c>
    </row>
    <row r="19" spans="2:18" x14ac:dyDescent="0.3">
      <c r="B19" s="2" t="s">
        <v>8</v>
      </c>
      <c r="N19" s="49">
        <v>0.21809581499759487</v>
      </c>
      <c r="O19" s="49">
        <v>0.19628623349783539</v>
      </c>
      <c r="P19" s="49">
        <v>0.17665761014805184</v>
      </c>
      <c r="Q19" s="49">
        <v>0.15899184913324665</v>
      </c>
      <c r="R19" s="49">
        <v>0.14309266421992201</v>
      </c>
    </row>
    <row r="20" spans="2:18" x14ac:dyDescent="0.3">
      <c r="B20" s="2" t="s">
        <v>9</v>
      </c>
      <c r="J20" s="56"/>
      <c r="N20" s="49">
        <v>0.21809581499759487</v>
      </c>
      <c r="O20" s="49">
        <v>0.20282910794776321</v>
      </c>
      <c r="P20" s="49">
        <v>0.18863107039141977</v>
      </c>
      <c r="Q20" s="49">
        <v>0.17542689546402038</v>
      </c>
      <c r="R20" s="49">
        <v>0.16314701278153895</v>
      </c>
    </row>
    <row r="21" spans="2:18" x14ac:dyDescent="0.3">
      <c r="B21" s="2" t="s">
        <v>112</v>
      </c>
      <c r="I21" s="56"/>
      <c r="K21" s="56"/>
      <c r="N21" s="49">
        <v>0.21809581499759487</v>
      </c>
      <c r="O21" s="49">
        <v>0.20688569010671848</v>
      </c>
      <c r="P21" s="49">
        <v>0.19240369179924816</v>
      </c>
      <c r="Q21" s="49">
        <v>0.17893543337330078</v>
      </c>
      <c r="R21" s="49">
        <v>0.16640995303716974</v>
      </c>
    </row>
    <row r="23" spans="2:18" x14ac:dyDescent="0.3">
      <c r="B23" s="2" t="s">
        <v>14</v>
      </c>
      <c r="D23" s="36">
        <f>'Company-operated store DCF'!D23+'Direct to Consumer DCF'!D23+'Other DCF'!D23</f>
        <v>99.284996713659595</v>
      </c>
      <c r="E23" s="36">
        <f>'Company-operated store DCF'!E23+'Direct to Consumer DCF'!E23+'Other DCF'!E23</f>
        <v>121.246087436632</v>
      </c>
      <c r="F23" s="36">
        <f>'Company-operated store DCF'!F23+'Direct to Consumer DCF'!F23+'Other DCF'!F23</f>
        <v>217.05296925638808</v>
      </c>
      <c r="G23" s="36">
        <f>'Company-operated store DCF'!G23+'Direct to Consumer DCF'!G23+'Other DCF'!G23</f>
        <v>227.9519439454736</v>
      </c>
      <c r="H23" s="36">
        <f>'Company-operated store DCF'!H23+'Direct to Consumer DCF'!H23+'Other DCF'!H23</f>
        <v>249.89602163823429</v>
      </c>
      <c r="I23" s="36">
        <f>'Company-operated store DCF'!I23+'Direct to Consumer DCF'!I23+'Other DCF'!I23</f>
        <v>229.44758477329592</v>
      </c>
      <c r="J23" s="36">
        <f>'Company-operated store DCF'!J23+'Direct to Consumer DCF'!J23+'Other DCF'!J23</f>
        <v>371.78362962479827</v>
      </c>
      <c r="K23" s="36">
        <f>'Company-operated store DCF'!K23+'Direct to Consumer DCF'!K23+'Other DCF'!K23</f>
        <v>621.58047578402955</v>
      </c>
      <c r="L23" s="36">
        <f>'Company-operated store DCF'!L23+'Direct to Consumer DCF'!L23+'Other DCF'!L23</f>
        <v>634.71914823266616</v>
      </c>
      <c r="M23" s="36">
        <f>'Company-operated store DCF'!M23+'Direct to Consumer DCF'!M23+'Other DCF'!M23</f>
        <v>738.90753040262382</v>
      </c>
      <c r="N23" s="36">
        <f ca="1">'Company-operated store DCF'!N23+'Direct to Consumer DCF'!N23+'Other DCF'!N23</f>
        <v>730.41518935495037</v>
      </c>
      <c r="O23" s="36">
        <f ca="1">'Company-operated store DCF'!O23+'Direct to Consumer DCF'!O23+'Other DCF'!O23</f>
        <v>770.89635467111782</v>
      </c>
      <c r="P23" s="36">
        <f ca="1">'Company-operated store DCF'!P23+'Direct to Consumer DCF'!P23+'Other DCF'!P23</f>
        <v>825.7180376885434</v>
      </c>
      <c r="Q23" s="36">
        <f ca="1">'Company-operated store DCF'!Q23+'Direct to Consumer DCF'!Q23+'Other DCF'!Q23</f>
        <v>878.51158042649854</v>
      </c>
      <c r="R23" s="36">
        <f ca="1">'Company-operated store DCF'!R23+'Direct to Consumer DCF'!R23+'Other DCF'!R23</f>
        <v>927.3109680236862</v>
      </c>
    </row>
    <row r="24" spans="2:18" x14ac:dyDescent="0.3">
      <c r="B24" s="44" t="s">
        <v>280</v>
      </c>
      <c r="D24" s="149">
        <f>DCF!D61</f>
        <v>0.27801734080516693</v>
      </c>
      <c r="E24" s="149">
        <f>DCF!E61</f>
        <v>0.28232744855451131</v>
      </c>
      <c r="F24" s="149">
        <f>DCF!F61</f>
        <v>0.43768885951678055</v>
      </c>
      <c r="G24" s="149">
        <f>DCF!G61</f>
        <v>0.32359175113596644</v>
      </c>
      <c r="H24" s="149">
        <f>DCF!H61</f>
        <v>0.28058721206873688</v>
      </c>
      <c r="I24" s="149">
        <f>DCF!I61</f>
        <v>0.28124366876182338</v>
      </c>
      <c r="J24" s="149">
        <f>DCF!J61</f>
        <v>0.2688022586925703</v>
      </c>
      <c r="K24" s="149">
        <f>DCF!K61</f>
        <v>0.35853324138075948</v>
      </c>
      <c r="L24" s="149">
        <f>DCF!L61</f>
        <v>0.28750973808850799</v>
      </c>
      <c r="M24" s="149">
        <f>DCF!M61</f>
        <v>0.29558937873363256</v>
      </c>
      <c r="N24" s="149">
        <f>DCF!N61</f>
        <v>0.29833565713145871</v>
      </c>
      <c r="O24" s="149">
        <f>DCF!O61</f>
        <v>0.29833565713145871</v>
      </c>
      <c r="P24" s="149">
        <f>DCF!P61</f>
        <v>0.29833565713145871</v>
      </c>
      <c r="Q24" s="149">
        <f>DCF!Q61</f>
        <v>0.29833565713145871</v>
      </c>
      <c r="R24" s="149">
        <f>DCF!R61</f>
        <v>0.29833565713145871</v>
      </c>
    </row>
    <row r="25" spans="2:18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8" x14ac:dyDescent="0.3">
      <c r="B26" s="122" t="s">
        <v>247</v>
      </c>
      <c r="C26" s="123"/>
      <c r="D26" s="124">
        <f t="shared" ref="D26:Q26" si="2">D17-D23</f>
        <v>257.83300328634033</v>
      </c>
      <c r="E26" s="124">
        <f t="shared" si="2"/>
        <v>308.20591256336797</v>
      </c>
      <c r="F26" s="124">
        <f t="shared" si="2"/>
        <v>278.85403074361193</v>
      </c>
      <c r="G26" s="124">
        <f t="shared" si="2"/>
        <v>476.49105605452638</v>
      </c>
      <c r="H26" s="124">
        <f t="shared" si="2"/>
        <v>640.72197836176565</v>
      </c>
      <c r="I26" s="124">
        <f t="shared" si="2"/>
        <v>586.38441522670405</v>
      </c>
      <c r="J26" s="124">
        <f t="shared" si="2"/>
        <v>1011.3283703752018</v>
      </c>
      <c r="K26" s="124">
        <f t="shared" si="2"/>
        <v>1112.0955242159703</v>
      </c>
      <c r="L26" s="124">
        <f t="shared" si="2"/>
        <v>1572.9248517673336</v>
      </c>
      <c r="M26" s="124">
        <f t="shared" si="2"/>
        <v>1760.8694695973763</v>
      </c>
      <c r="N26" s="124">
        <f t="shared" ca="1" si="2"/>
        <v>1717.8848106450494</v>
      </c>
      <c r="O26" s="124">
        <f t="shared" ca="1" si="2"/>
        <v>1813.0936453288814</v>
      </c>
      <c r="P26" s="124">
        <f t="shared" ca="1" si="2"/>
        <v>1942.0303623114569</v>
      </c>
      <c r="Q26" s="124">
        <f t="shared" ca="1" si="2"/>
        <v>2066.1970369527207</v>
      </c>
      <c r="R26" s="125">
        <f ca="1">R17-R23</f>
        <v>2180.9697414963148</v>
      </c>
    </row>
    <row r="28" spans="2:18" x14ac:dyDescent="0.3">
      <c r="B28" s="2" t="s">
        <v>59</v>
      </c>
      <c r="D28" s="36">
        <f>'Company-operated store DCF'!D28+'Direct to Consumer DCF'!D28+'Other DCF'!D28</f>
        <v>73.382999999999996</v>
      </c>
      <c r="E28" s="36">
        <f>'Company-operated store DCF'!E28+'Direct to Consumer DCF'!E28+'Other DCF'!E28</f>
        <v>87.697000000000003</v>
      </c>
      <c r="F28" s="36">
        <f>'Company-operated store DCF'!F28+'Direct to Consumer DCF'!F28+'Other DCF'!F28</f>
        <v>108.23500000000001</v>
      </c>
      <c r="G28" s="36">
        <f>'Company-operated store DCF'!G28+'Direct to Consumer DCF'!G28+'Other DCF'!G28</f>
        <v>122.48400000000001</v>
      </c>
      <c r="H28" s="36">
        <f>'Company-operated store DCF'!H28+'Direct to Consumer DCF'!H28+'Other DCF'!H28</f>
        <v>161.93299999999996</v>
      </c>
      <c r="I28" s="36">
        <f>'Company-operated store DCF'!I28+'Direct to Consumer DCF'!I28+'Other DCF'!I28</f>
        <v>185.47800000000004</v>
      </c>
      <c r="J28" s="36">
        <f>'Company-operated store DCF'!J28+'Direct to Consumer DCF'!J28+'Other DCF'!J28</f>
        <v>224.20599999999999</v>
      </c>
      <c r="K28" s="36">
        <f>'Company-operated store DCF'!K28+'Direct to Consumer DCF'!K28+'Other DCF'!K28</f>
        <v>291.791</v>
      </c>
      <c r="L28" s="36">
        <f>'Company-operated store DCF'!L28+'Direct to Consumer DCF'!L28+'Other DCF'!L28</f>
        <v>379.38400000000001</v>
      </c>
      <c r="M28" s="36">
        <f>'Company-operated store DCF'!M28+'Direct to Consumer DCF'!M28+'Other DCF'!M28</f>
        <v>446.524</v>
      </c>
      <c r="N28" s="36">
        <f>'Company-operated store DCF'!N28+'Direct to Consumer DCF'!N28+'Other DCF'!N28</f>
        <v>434.86405639209204</v>
      </c>
      <c r="O28" s="36">
        <f>'Company-operated store DCF'!O28+'Direct to Consumer DCF'!O28+'Other DCF'!O28</f>
        <v>464.89368604121722</v>
      </c>
      <c r="P28" s="36">
        <f>'Company-operated store DCF'!P28+'Direct to Consumer DCF'!P28+'Other DCF'!P28</f>
        <v>493.2304689209065</v>
      </c>
      <c r="Q28" s="36">
        <f>'Company-operated store DCF'!Q28+'Direct to Consumer DCF'!Q28+'Other DCF'!Q28</f>
        <v>509.7405671619502</v>
      </c>
      <c r="R28" s="36">
        <f>'Company-operated store DCF'!R28+'Direct to Consumer DCF'!R28+'Other DCF'!R28</f>
        <v>554.10709816961673</v>
      </c>
    </row>
    <row r="29" spans="2:18" x14ac:dyDescent="0.3">
      <c r="B29" s="44" t="s">
        <v>13</v>
      </c>
      <c r="D29" s="153">
        <f>D28/D11</f>
        <v>3.561377378461681E-2</v>
      </c>
      <c r="E29" s="153">
        <f t="shared" ref="E29:R29" si="3">E28/E11</f>
        <v>3.7407140102849699E-2</v>
      </c>
      <c r="F29" s="153">
        <f t="shared" si="3"/>
        <v>4.0856023050142673E-2</v>
      </c>
      <c r="G29" s="153">
        <f t="shared" si="3"/>
        <v>3.7248211016023693E-2</v>
      </c>
      <c r="H29" s="153">
        <f t="shared" si="3"/>
        <v>4.069388153080343E-2</v>
      </c>
      <c r="I29" s="153">
        <f t="shared" si="3"/>
        <v>4.2136096880445839E-2</v>
      </c>
      <c r="J29" s="153">
        <f t="shared" si="3"/>
        <v>3.5835020746834909E-2</v>
      </c>
      <c r="K29" s="153">
        <f t="shared" si="3"/>
        <v>3.5976863623260559E-2</v>
      </c>
      <c r="L29" s="153">
        <f t="shared" si="3"/>
        <v>3.9439966284371866E-2</v>
      </c>
      <c r="M29" s="153">
        <f t="shared" si="3"/>
        <v>4.2172146421378058E-2</v>
      </c>
      <c r="N29" s="153">
        <f t="shared" ca="1" si="3"/>
        <v>3.8737912344072763E-2</v>
      </c>
      <c r="O29" s="153">
        <f t="shared" ca="1" si="3"/>
        <v>3.8737912344072756E-2</v>
      </c>
      <c r="P29" s="153">
        <f t="shared" ca="1" si="3"/>
        <v>3.8054735324595364E-2</v>
      </c>
      <c r="Q29" s="153">
        <f t="shared" ca="1" si="3"/>
        <v>3.6505148940609217E-2</v>
      </c>
      <c r="R29" s="153">
        <f t="shared" ca="1" si="3"/>
        <v>3.743628761045488E-2</v>
      </c>
    </row>
    <row r="31" spans="2:18" x14ac:dyDescent="0.3">
      <c r="B31" s="2" t="s">
        <v>60</v>
      </c>
      <c r="D31" s="152">
        <f>'Company-operated store DCF'!D31+'Direct to Consumer DCF'!D31+'Other DCF'!D31</f>
        <v>143.48699999999999</v>
      </c>
      <c r="E31" s="152">
        <f>'Company-operated store DCF'!E31+'Direct to Consumer DCF'!E31+'Other DCF'!E31</f>
        <v>149.511</v>
      </c>
      <c r="F31" s="152">
        <f>'Company-operated store DCF'!F31+'Direct to Consumer DCF'!F31+'Other DCF'!F31</f>
        <v>157.86400000000003</v>
      </c>
      <c r="G31" s="152">
        <f>'Company-operated store DCF'!G31+'Direct to Consumer DCF'!G31+'Other DCF'!G31</f>
        <v>225.80699999999999</v>
      </c>
      <c r="H31" s="152">
        <f>'Company-operated store DCF'!H31+'Direct to Consumer DCF'!H31+'Other DCF'!H31</f>
        <v>283.04799999999994</v>
      </c>
      <c r="I31" s="152">
        <f>'Company-operated store DCF'!I31+'Direct to Consumer DCF'!I31+'Other DCF'!I31</f>
        <v>229.226</v>
      </c>
      <c r="J31" s="152">
        <f>'Company-operated store DCF'!J31+'Direct to Consumer DCF'!J31+'Other DCF'!J31</f>
        <v>394.50199999999995</v>
      </c>
      <c r="K31" s="152">
        <f>'Company-operated store DCF'!K31+'Direct to Consumer DCF'!K31+'Other DCF'!K31</f>
        <v>638.65700000000004</v>
      </c>
      <c r="L31" s="152">
        <f>'Company-operated store DCF'!L31+'Direct to Consumer DCF'!L31+'Other DCF'!L31</f>
        <v>651.86500000000001</v>
      </c>
      <c r="M31" s="152">
        <f>'Company-operated store DCF'!M31+'Direct to Consumer DCF'!M31+'Other DCF'!M31</f>
        <v>689.23199999999997</v>
      </c>
      <c r="N31" s="152">
        <f>'Company-operated store DCF'!N31+'Direct to Consumer DCF'!N31+'Other DCF'!N31</f>
        <v>757.29100000000017</v>
      </c>
      <c r="O31" s="152">
        <f>'Company-operated store DCF'!O31+'Direct to Consumer DCF'!O31+'Other DCF'!O31</f>
        <v>806.8130000000001</v>
      </c>
      <c r="P31" s="152">
        <f>'Company-operated store DCF'!P31+'Direct to Consumer DCF'!P31+'Other DCF'!P31</f>
        <v>827.47699999999986</v>
      </c>
      <c r="Q31" s="152">
        <f>'Company-operated store DCF'!Q31+'Direct to Consumer DCF'!Q31+'Other DCF'!Q31</f>
        <v>860.30300000000011</v>
      </c>
      <c r="R31" s="152">
        <f>'Company-operated store DCF'!R31+'Direct to Consumer DCF'!R31+'Other DCF'!R31</f>
        <v>787</v>
      </c>
    </row>
    <row r="32" spans="2:18" x14ac:dyDescent="0.3">
      <c r="B32" s="44" t="s">
        <v>13</v>
      </c>
      <c r="D32" s="153">
        <f>D31/D11</f>
        <v>6.9636204012282307E-2</v>
      </c>
      <c r="E32" s="153">
        <f t="shared" ref="E32:R32" si="4">E31/E11</f>
        <v>6.3773891055762005E-2</v>
      </c>
      <c r="F32" s="153">
        <f t="shared" si="4"/>
        <v>5.9589737356564171E-2</v>
      </c>
      <c r="G32" s="153">
        <f t="shared" si="4"/>
        <v>6.8669432618915616E-2</v>
      </c>
      <c r="H32" s="153">
        <f t="shared" si="4"/>
        <v>7.1130169758670855E-2</v>
      </c>
      <c r="I32" s="153">
        <f t="shared" si="4"/>
        <v>5.2074579969144996E-2</v>
      </c>
      <c r="J32" s="153">
        <f t="shared" si="4"/>
        <v>6.3053563930795184E-2</v>
      </c>
      <c r="K32" s="153">
        <f t="shared" si="4"/>
        <v>7.8744292288112805E-2</v>
      </c>
      <c r="L32" s="153">
        <f t="shared" si="4"/>
        <v>6.7766520522642135E-2</v>
      </c>
      <c r="M32" s="153">
        <f t="shared" si="4"/>
        <v>6.5094805256378702E-2</v>
      </c>
      <c r="N32" s="153">
        <f t="shared" ca="1" si="4"/>
        <v>6.7459869229809913E-2</v>
      </c>
      <c r="O32" s="153">
        <f t="shared" ca="1" si="4"/>
        <v>6.7228814265477874E-2</v>
      </c>
      <c r="P32" s="153">
        <f t="shared" ca="1" si="4"/>
        <v>6.384321368281036E-2</v>
      </c>
      <c r="Q32" s="153">
        <f t="shared" ca="1" si="4"/>
        <v>6.1610731364598381E-2</v>
      </c>
      <c r="R32" s="153">
        <f t="shared" ca="1" si="4"/>
        <v>5.3170873368616041E-2</v>
      </c>
    </row>
    <row r="34" spans="2:18" x14ac:dyDescent="0.3">
      <c r="B34" s="2" t="s">
        <v>61</v>
      </c>
      <c r="D34" s="36">
        <f>'Company-operated store DCF'!D34+'Direct to Consumer DCF'!D34+'Other DCF'!D34</f>
        <v>59.742999999999995</v>
      </c>
      <c r="E34" s="36">
        <f>'Company-operated store DCF'!E34+'Direct to Consumer DCF'!E34+'Other DCF'!E34</f>
        <v>-0.60299999999999998</v>
      </c>
      <c r="F34" s="36">
        <f>'Company-operated store DCF'!F34+'Direct to Consumer DCF'!F34+'Other DCF'!F34</f>
        <v>-104.628</v>
      </c>
      <c r="G34" s="36">
        <f>'Company-operated store DCF'!G34+'Direct to Consumer DCF'!G34+'Other DCF'!G34</f>
        <v>-112.87500000000001</v>
      </c>
      <c r="H34" s="36">
        <f>'Company-operated store DCF'!H34+'Direct to Consumer DCF'!H34+'Other DCF'!H34</f>
        <v>194.07099999999997</v>
      </c>
      <c r="I34" s="36">
        <f>'Company-operated store DCF'!I34+'Direct to Consumer DCF'!I34+'Other DCF'!I34</f>
        <v>47.549000000000007</v>
      </c>
      <c r="J34" s="36">
        <f>'Company-operated store DCF'!J34+'Direct to Consumer DCF'!J34+'Other DCF'!J34</f>
        <v>-129.131</v>
      </c>
      <c r="K34" s="36">
        <f>'Company-operated store DCF'!K34+'Direct to Consumer DCF'!K34+'Other DCF'!K34</f>
        <v>596.99199999999996</v>
      </c>
      <c r="L34" s="36">
        <f>'Company-operated store DCF'!L34+'Direct to Consumer DCF'!L34+'Other DCF'!L34</f>
        <v>-199.22299999999998</v>
      </c>
      <c r="M34" s="36">
        <f>'Company-operated store DCF'!M34+'Direct to Consumer DCF'!M34+'Other DCF'!M34</f>
        <v>51.895000000000003</v>
      </c>
      <c r="N34" s="36">
        <f>'Company-operated store DCF'!N34+'Direct to Consumer DCF'!N34+'Other DCF'!N34</f>
        <v>216.27467214330659</v>
      </c>
      <c r="O34" s="36">
        <f>'Company-operated store DCF'!O34+'Direct to Consumer DCF'!O34+'Other DCF'!O34</f>
        <v>231.20956550017129</v>
      </c>
      <c r="P34" s="36">
        <f>'Company-operated store DCF'!P34+'Direct to Consumer DCF'!P34+'Other DCF'!P34</f>
        <v>245.30254084917343</v>
      </c>
      <c r="Q34" s="36">
        <f>'Company-operated store DCF'!Q34+'Direct to Consumer DCF'!Q34+'Other DCF'!Q34</f>
        <v>253.51364965812044</v>
      </c>
      <c r="R34" s="36">
        <f>'Company-operated store DCF'!R34+'Direct to Consumer DCF'!R34+'Other DCF'!R34</f>
        <v>275.57883717310631</v>
      </c>
    </row>
    <row r="35" spans="2:18" x14ac:dyDescent="0.3">
      <c r="B35" s="44" t="s">
        <v>13</v>
      </c>
      <c r="D35" s="153">
        <f>D34/D11</f>
        <v>2.8994095188454576E-2</v>
      </c>
      <c r="E35" s="153">
        <f t="shared" ref="E35:R35" si="5">E34/E11</f>
        <v>-2.5720954516138939E-4</v>
      </c>
      <c r="F35" s="153">
        <f t="shared" si="5"/>
        <v>-3.9494470177764369E-2</v>
      </c>
      <c r="G35" s="153">
        <f t="shared" si="5"/>
        <v>-3.4326049267117943E-2</v>
      </c>
      <c r="H35" s="153">
        <f t="shared" si="5"/>
        <v>4.8770184474841771E-2</v>
      </c>
      <c r="I35" s="153">
        <f t="shared" si="5"/>
        <v>1.0801977973497228E-2</v>
      </c>
      <c r="J35" s="153">
        <f t="shared" si="5"/>
        <v>-2.0639108962559157E-2</v>
      </c>
      <c r="K35" s="153">
        <f t="shared" si="5"/>
        <v>7.3607135820424788E-2</v>
      </c>
      <c r="L35" s="153">
        <f t="shared" si="5"/>
        <v>-2.0710805946142732E-2</v>
      </c>
      <c r="M35" s="153">
        <f t="shared" si="5"/>
        <v>4.9012450361848739E-3</v>
      </c>
      <c r="N35" s="153">
        <f t="shared" ca="1" si="5"/>
        <v>1.9265858303488977E-2</v>
      </c>
      <c r="O35" s="153">
        <f t="shared" ca="1" si="5"/>
        <v>1.9265858303488981E-2</v>
      </c>
      <c r="P35" s="153">
        <f t="shared" ca="1" si="5"/>
        <v>1.8926088014978179E-2</v>
      </c>
      <c r="Q35" s="153">
        <f t="shared" ca="1" si="5"/>
        <v>1.8155418923734273E-2</v>
      </c>
      <c r="R35" s="153">
        <f t="shared" ca="1" si="5"/>
        <v>1.8618510107244846E-2</v>
      </c>
    </row>
    <row r="37" spans="2:18" x14ac:dyDescent="0.3">
      <c r="B37" s="68" t="s">
        <v>113</v>
      </c>
      <c r="C37" s="69"/>
      <c r="D37" s="70">
        <f>D26+D28-D31-D34</f>
        <v>127.98600328634032</v>
      </c>
      <c r="E37" s="70">
        <f t="shared" ref="E37:Q37" si="6">E26+E28-E31-E34</f>
        <v>246.99491256336799</v>
      </c>
      <c r="F37" s="70">
        <f t="shared" si="6"/>
        <v>333.8530307436119</v>
      </c>
      <c r="G37" s="70">
        <f t="shared" si="6"/>
        <v>486.04305605452635</v>
      </c>
      <c r="H37" s="70">
        <f t="shared" si="6"/>
        <v>325.53597836176567</v>
      </c>
      <c r="I37" s="70">
        <f t="shared" si="6"/>
        <v>495.08741522670414</v>
      </c>
      <c r="J37" s="70">
        <f t="shared" si="6"/>
        <v>970.16337037520168</v>
      </c>
      <c r="K37" s="70">
        <f t="shared" si="6"/>
        <v>168.23752421597021</v>
      </c>
      <c r="L37" s="70">
        <f t="shared" si="6"/>
        <v>1499.6668517673336</v>
      </c>
      <c r="M37" s="70">
        <f t="shared" si="6"/>
        <v>1466.2664695973763</v>
      </c>
      <c r="N37" s="70">
        <f t="shared" ca="1" si="6"/>
        <v>1179.1831948938345</v>
      </c>
      <c r="O37" s="70">
        <f t="shared" ca="1" si="6"/>
        <v>1239.9647658699273</v>
      </c>
      <c r="P37" s="70">
        <f t="shared" ca="1" si="6"/>
        <v>1362.4812903831898</v>
      </c>
      <c r="Q37" s="70">
        <f t="shared" ca="1" si="6"/>
        <v>1462.1209544565506</v>
      </c>
      <c r="R37" s="71">
        <f ca="1">R26+R28-R31-R34</f>
        <v>1672.498002492825</v>
      </c>
    </row>
    <row r="38" spans="2:18" x14ac:dyDescent="0.3">
      <c r="B38" s="72" t="s">
        <v>114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73">
        <f ca="1">(N37*N40)/(1+D5)^N41</f>
        <v>49.050022261805282</v>
      </c>
      <c r="O38" s="73">
        <f ca="1">O37/(1+$D$5)^O41</f>
        <v>1188.8815231752112</v>
      </c>
      <c r="P38" s="73">
        <f ca="1">P37/(1+$D$5)^P41</f>
        <v>1204.9801906196619</v>
      </c>
      <c r="Q38" s="73">
        <f t="shared" ref="Q38" ca="1" si="7">Q37/(1+$D$5)^Q41</f>
        <v>1192.7592370839945</v>
      </c>
      <c r="R38" s="74">
        <f ca="1">R37/(1+$D$5)^R41</f>
        <v>1258.5058023888021</v>
      </c>
    </row>
    <row r="40" spans="2:18" x14ac:dyDescent="0.3">
      <c r="B40" s="2" t="s">
        <v>134</v>
      </c>
      <c r="N40" s="66">
        <f ca="1">DCF!N144</f>
        <v>4.1666666666666664E-2</v>
      </c>
      <c r="O40" s="66"/>
      <c r="P40" s="66"/>
      <c r="Q40" s="66"/>
      <c r="R40" s="66"/>
    </row>
    <row r="41" spans="2:18" x14ac:dyDescent="0.3">
      <c r="B41" s="2" t="s">
        <v>135</v>
      </c>
      <c r="N41" s="66">
        <f ca="1">DCF!N145</f>
        <v>2.0833333333333332E-2</v>
      </c>
      <c r="O41" s="66">
        <f ca="1">DCF!O145</f>
        <v>0.52083333333333337</v>
      </c>
      <c r="P41" s="66">
        <f ca="1">DCF!P145</f>
        <v>1.5208333333333335</v>
      </c>
      <c r="Q41" s="66">
        <f ca="1">DCF!Q145</f>
        <v>2.5208333333333335</v>
      </c>
      <c r="R41" s="66">
        <f ca="1">DCF!R145</f>
        <v>3.5208333333333335</v>
      </c>
    </row>
    <row r="43" spans="2:18" x14ac:dyDescent="0.3">
      <c r="B43" s="2" t="s">
        <v>139</v>
      </c>
      <c r="R43" s="47">
        <f ca="1">(R37*(1+D6))/(D5-D6)</f>
        <v>28994.051463782704</v>
      </c>
    </row>
    <row r="44" spans="2:18" x14ac:dyDescent="0.3">
      <c r="B44" s="2" t="s">
        <v>140</v>
      </c>
      <c r="R44" s="47">
        <f ca="1">R43/(1+WACC)^R41</f>
        <v>21817.175235811148</v>
      </c>
    </row>
    <row r="46" spans="2:18" x14ac:dyDescent="0.3">
      <c r="B46" s="2" t="s">
        <v>141</v>
      </c>
      <c r="R46" s="47">
        <f ca="1">SUM(N38:R38)+R44</f>
        <v>26711.352011340623</v>
      </c>
    </row>
    <row r="47" spans="2:18" x14ac:dyDescent="0.3">
      <c r="B47" s="2" t="s">
        <v>142</v>
      </c>
      <c r="R47" s="47">
        <f>DCF!R150</f>
        <v>1984.336</v>
      </c>
    </row>
    <row r="48" spans="2:18" x14ac:dyDescent="0.3">
      <c r="B48" s="2" t="s">
        <v>143</v>
      </c>
      <c r="R48" s="47">
        <f>DCF!R151</f>
        <v>1575.8</v>
      </c>
    </row>
    <row r="49" spans="2:18" x14ac:dyDescent="0.3">
      <c r="B49" s="2" t="s">
        <v>144</v>
      </c>
      <c r="R49" s="47">
        <f ca="1">R46+R47-R48</f>
        <v>27119.888011340623</v>
      </c>
    </row>
    <row r="51" spans="2:18" x14ac:dyDescent="0.3">
      <c r="B51" s="2" t="s">
        <v>145</v>
      </c>
      <c r="R51" s="66">
        <f>Shares!E14</f>
        <v>116.370231</v>
      </c>
    </row>
    <row r="52" spans="2:18" x14ac:dyDescent="0.3">
      <c r="B52" s="2" t="s">
        <v>146</v>
      </c>
      <c r="R52" s="77">
        <f ca="1">R49/R51</f>
        <v>233.04833012955541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95EA-8821-42EB-9D70-40DDD2CC3408}">
  <dimension ref="A2:R46"/>
  <sheetViews>
    <sheetView showGridLines="0" workbookViewId="0">
      <selection activeCell="B3" sqref="B3"/>
    </sheetView>
  </sheetViews>
  <sheetFormatPr defaultColWidth="9" defaultRowHeight="15.6" x14ac:dyDescent="0.3"/>
  <cols>
    <col min="1" max="1" width="3.59765625" style="2" customWidth="1"/>
    <col min="2" max="2" width="14.8984375" style="2" bestFit="1" customWidth="1"/>
    <col min="3" max="3" width="9" style="2"/>
    <col min="4" max="18" width="15.5" style="2" customWidth="1"/>
    <col min="19" max="16384" width="9" style="2"/>
  </cols>
  <sheetData>
    <row r="2" spans="1:18" s="1" customFormat="1" ht="21" x14ac:dyDescent="0.4">
      <c r="B2" s="141" t="s">
        <v>367</v>
      </c>
    </row>
    <row r="3" spans="1:18" ht="15.75" customHeight="1" x14ac:dyDescent="0.3"/>
    <row r="4" spans="1:18" x14ac:dyDescent="0.3">
      <c r="A4" s="2" t="s">
        <v>11</v>
      </c>
      <c r="B4" s="139" t="s">
        <v>0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5.75" customHeight="1" x14ac:dyDescent="0.3">
      <c r="B5" s="2" t="s">
        <v>5</v>
      </c>
      <c r="D5" s="61">
        <f>WACC</f>
        <v>8.4126281633890992E-2</v>
      </c>
    </row>
    <row r="6" spans="1:18" ht="15.75" customHeight="1" x14ac:dyDescent="0.3">
      <c r="B6" s="2" t="s">
        <v>6</v>
      </c>
      <c r="D6" s="61">
        <f>TGR</f>
        <v>2.5000000000000001E-2</v>
      </c>
    </row>
    <row r="7" spans="1:18" ht="15.75" customHeight="1" x14ac:dyDescent="0.3"/>
    <row r="8" spans="1:18" ht="15.75" customHeight="1" x14ac:dyDescent="0.3"/>
    <row r="9" spans="1:18" x14ac:dyDescent="0.3">
      <c r="A9" s="51" t="s">
        <v>11</v>
      </c>
      <c r="B9" s="139" t="s">
        <v>1</v>
      </c>
      <c r="C9" s="139"/>
      <c r="D9" s="139">
        <v>2015</v>
      </c>
      <c r="E9" s="139">
        <v>2016</v>
      </c>
      <c r="F9" s="139">
        <v>2017</v>
      </c>
      <c r="G9" s="139">
        <v>2018</v>
      </c>
      <c r="H9" s="139">
        <v>2019</v>
      </c>
      <c r="I9" s="139">
        <v>2020</v>
      </c>
      <c r="J9" s="139">
        <v>2021</v>
      </c>
      <c r="K9" s="139">
        <v>2022</v>
      </c>
      <c r="L9" s="139">
        <v>2023</v>
      </c>
      <c r="M9" s="139">
        <v>2024</v>
      </c>
      <c r="N9" s="139">
        <v>2025</v>
      </c>
      <c r="O9" s="139">
        <v>2026</v>
      </c>
      <c r="P9" s="139">
        <v>2027</v>
      </c>
      <c r="Q9" s="139">
        <v>2028</v>
      </c>
      <c r="R9" s="139">
        <v>2029</v>
      </c>
    </row>
    <row r="10" spans="1:18" ht="3.75" customHeight="1" x14ac:dyDescent="0.3"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</row>
    <row r="11" spans="1:18" x14ac:dyDescent="0.3">
      <c r="A11" s="2" t="s">
        <v>11</v>
      </c>
      <c r="B11" s="2" t="s">
        <v>3</v>
      </c>
      <c r="D11" s="36">
        <f>DCF!D23</f>
        <v>1516.3230000000001</v>
      </c>
      <c r="E11" s="36">
        <f>DCF!E23</f>
        <v>1704.357</v>
      </c>
      <c r="F11" s="36">
        <f>DCF!F23</f>
        <v>1837.0650000000001</v>
      </c>
      <c r="G11" s="36">
        <f>DCF!G23</f>
        <v>2126.3629999999998</v>
      </c>
      <c r="H11" s="36">
        <f>DCF!H23</f>
        <v>2501.067</v>
      </c>
      <c r="I11" s="36">
        <f>DCF!I23</f>
        <v>1658.807</v>
      </c>
      <c r="J11" s="36">
        <f>DCF!J23</f>
        <v>2821.4969999999998</v>
      </c>
      <c r="K11" s="36">
        <f>DCF!K23</f>
        <v>3648.127</v>
      </c>
      <c r="L11" s="36">
        <f>DCF!L23</f>
        <v>4096.544970887564</v>
      </c>
      <c r="M11" s="36">
        <f>DCF!M23</f>
        <v>4509.1465613556293</v>
      </c>
      <c r="N11" s="36">
        <f ca="1">M11*(1+N12)</f>
        <v>4780.711664034412</v>
      </c>
      <c r="O11" s="36">
        <f ca="1">N11*(1+O12)</f>
        <v>5110.844721986583</v>
      </c>
      <c r="P11" s="36">
        <f t="shared" ref="P11:R11" ca="1" si="0">O11*(1+P12)</f>
        <v>5519.7122997455099</v>
      </c>
      <c r="Q11" s="36">
        <f t="shared" ca="1" si="0"/>
        <v>5946.6218705730071</v>
      </c>
      <c r="R11" s="36">
        <f t="shared" ca="1" si="0"/>
        <v>6303.4191828073881</v>
      </c>
    </row>
    <row r="12" spans="1:18" x14ac:dyDescent="0.3">
      <c r="B12" s="44" t="s">
        <v>12</v>
      </c>
      <c r="D12" s="147"/>
      <c r="E12" s="147">
        <f>DCF!E24</f>
        <v>0.1240065606074694</v>
      </c>
      <c r="F12" s="147">
        <f>DCF!F24</f>
        <v>7.7863968640373038E-2</v>
      </c>
      <c r="G12" s="147">
        <f>DCF!G24</f>
        <v>0.15747836902885837</v>
      </c>
      <c r="H12" s="147">
        <f>DCF!H24</f>
        <v>0.17621826564890397</v>
      </c>
      <c r="I12" s="147">
        <f>DCF!I24</f>
        <v>-0.3367602707164582</v>
      </c>
      <c r="J12" s="147">
        <f>DCF!J24</f>
        <v>0.70091939568617678</v>
      </c>
      <c r="K12" s="147">
        <f>DCF!K24</f>
        <v>0.29297567922276735</v>
      </c>
      <c r="L12" s="147">
        <f>DCF!L24</f>
        <v>0.12291731370304926</v>
      </c>
      <c r="M12" s="147">
        <f>DCF!M24</f>
        <v>0.1007194095024595</v>
      </c>
      <c r="N12" s="148">
        <f ca="1">OFFSET(N12,DCF!$D$11,0)</f>
        <v>6.0225388326508478E-2</v>
      </c>
      <c r="O12" s="148">
        <f ca="1">OFFSET(O12,DCF!$D$11,0)</f>
        <v>6.905521210069665E-2</v>
      </c>
      <c r="P12" s="148">
        <f ca="1">OFFSET(P12,DCF!$D$11,0)</f>
        <v>0.08</v>
      </c>
      <c r="Q12" s="148">
        <f ca="1">OFFSET(Q12,DCF!$D$11,0)</f>
        <v>7.7342721439880038E-2</v>
      </c>
      <c r="R12" s="148">
        <f ca="1">OFFSET(R12,DCF!$D$11,0)</f>
        <v>0.06</v>
      </c>
    </row>
    <row r="13" spans="1:18" x14ac:dyDescent="0.3">
      <c r="B13" s="2" t="s">
        <v>8</v>
      </c>
      <c r="N13" s="49">
        <f>DCF!N117</f>
        <v>6.0225388326508478E-2</v>
      </c>
      <c r="O13" s="49">
        <f>DCF!O117</f>
        <v>5.5244169680557322E-2</v>
      </c>
      <c r="P13" s="49">
        <f>DCF!P117</f>
        <v>6.4000000000000001E-2</v>
      </c>
      <c r="Q13" s="49">
        <f>DCF!Q117</f>
        <v>6.1874177151904033E-2</v>
      </c>
      <c r="R13" s="49">
        <f>DCF!R117</f>
        <v>4.8000000000000001E-2</v>
      </c>
    </row>
    <row r="14" spans="1:18" x14ac:dyDescent="0.3">
      <c r="B14" s="2" t="s">
        <v>9</v>
      </c>
      <c r="M14" s="126"/>
      <c r="N14" s="49">
        <f>DCF!N118</f>
        <v>6.0225388326508478E-2</v>
      </c>
      <c r="O14" s="49">
        <f>DCF!O118</f>
        <v>6.905521210069665E-2</v>
      </c>
      <c r="P14" s="49">
        <f>DCF!P118</f>
        <v>0.08</v>
      </c>
      <c r="Q14" s="49">
        <f>DCF!Q118</f>
        <v>7.7342721439880038E-2</v>
      </c>
      <c r="R14" s="49">
        <f>DCF!R118</f>
        <v>0.06</v>
      </c>
    </row>
    <row r="15" spans="1:18" x14ac:dyDescent="0.3">
      <c r="B15" s="2" t="s">
        <v>112</v>
      </c>
      <c r="N15" s="49">
        <f>DCF!N119</f>
        <v>6.0225388326508478E-2</v>
      </c>
      <c r="O15" s="49">
        <f>DCF!O119</f>
        <v>8.2866254520835972E-2</v>
      </c>
      <c r="P15" s="49">
        <f>DCF!P119</f>
        <v>9.6000000000000002E-2</v>
      </c>
      <c r="Q15" s="49">
        <f>DCF!Q119</f>
        <v>9.2811265727856043E-2</v>
      </c>
      <c r="R15" s="49">
        <f>DCF!R119</f>
        <v>7.1999999999999995E-2</v>
      </c>
    </row>
    <row r="17" spans="2:18" x14ac:dyDescent="0.3">
      <c r="B17" s="2" t="s">
        <v>4</v>
      </c>
      <c r="D17" s="36">
        <f>DCF!D43</f>
        <v>262.80038471494856</v>
      </c>
      <c r="E17" s="36">
        <f>DCF!E43</f>
        <v>312.20867600810789</v>
      </c>
      <c r="F17" s="36">
        <f>DCF!F43</f>
        <v>343.88491875602307</v>
      </c>
      <c r="G17" s="36">
        <f>DCF!G43</f>
        <v>455.52196450800545</v>
      </c>
      <c r="H17" s="36">
        <f>DCF!H43</f>
        <v>559.77119807272436</v>
      </c>
      <c r="I17" s="36">
        <f>DCF!I43</f>
        <v>307.43867162727554</v>
      </c>
      <c r="J17" s="36">
        <f>DCF!J43</f>
        <v>623.73106083751009</v>
      </c>
      <c r="K17" s="36">
        <f>DCF!K43</f>
        <v>779.81088567363997</v>
      </c>
      <c r="L17" s="36">
        <f>DCF!L43</f>
        <v>940.16545999711241</v>
      </c>
      <c r="M17" s="36">
        <f>DCF!M43</f>
        <v>1064.5756259139616</v>
      </c>
      <c r="N17" s="36">
        <f ca="1">N11*N18</f>
        <v>1042.6532066360928</v>
      </c>
      <c r="O17" s="36">
        <f t="shared" ref="O17:P17" ca="1" si="1">O11*O18</f>
        <v>1100.4392678248569</v>
      </c>
      <c r="P17" s="36">
        <f t="shared" ca="1" si="1"/>
        <v>1178.6961338160827</v>
      </c>
      <c r="Q17" s="36">
        <f ca="1">Q11*Q18</f>
        <v>1254.0578697542696</v>
      </c>
      <c r="R17" s="36">
        <f ca="1">R11*R18</f>
        <v>1323.7180283895514</v>
      </c>
    </row>
    <row r="18" spans="2:18" x14ac:dyDescent="0.3">
      <c r="B18" s="44" t="s">
        <v>13</v>
      </c>
      <c r="C18" s="44"/>
      <c r="D18" s="148"/>
      <c r="E18" s="148">
        <f>DCF!E44</f>
        <v>0.1831826759347413</v>
      </c>
      <c r="F18" s="148">
        <f>DCF!F44</f>
        <v>0.18719257008109297</v>
      </c>
      <c r="G18" s="148">
        <f>DCF!G44</f>
        <v>0.214225870421939</v>
      </c>
      <c r="H18" s="148">
        <f>DCF!H44</f>
        <v>0.2238129558595289</v>
      </c>
      <c r="I18" s="148">
        <f>DCF!I44</f>
        <v>0.18533721622061852</v>
      </c>
      <c r="J18" s="148">
        <f>DCF!J44</f>
        <v>0.2210638752539911</v>
      </c>
      <c r="K18" s="148">
        <f>DCF!K44</f>
        <v>0.21375650729090298</v>
      </c>
      <c r="L18" s="148">
        <f>DCF!L44</f>
        <v>0.22950204786679412</v>
      </c>
      <c r="M18" s="148">
        <f>DCF!M44</f>
        <v>0.23609248699911581</v>
      </c>
      <c r="N18" s="148">
        <f ca="1">OFFSET(N18,DCF!$D$12,0)</f>
        <v>0.21809581499759481</v>
      </c>
      <c r="O18" s="148">
        <f ca="1">OFFSET(O18,DCF!$D$12,0)</f>
        <v>0.21531455712023992</v>
      </c>
      <c r="P18" s="148">
        <f ca="1">OFFSET(P18,DCF!$D$12,0)</f>
        <v>0.21354303808015995</v>
      </c>
      <c r="Q18" s="148">
        <f ca="1">OFFSET(Q18,DCF!$D$12,0)</f>
        <v>0.21088575952003999</v>
      </c>
      <c r="R18" s="148">
        <f ca="1">OFFSET(R18,DCF!$D$12,0)</f>
        <v>0.21</v>
      </c>
    </row>
    <row r="19" spans="2:18" x14ac:dyDescent="0.3">
      <c r="B19" s="2" t="s">
        <v>8</v>
      </c>
      <c r="N19" s="49">
        <f>DCF!N123</f>
        <v>0.21809581499759481</v>
      </c>
      <c r="O19" s="49">
        <f>DCF!O123</f>
        <v>0.19628623349783533</v>
      </c>
      <c r="P19" s="49">
        <f>DCF!P123</f>
        <v>0.17665761014805181</v>
      </c>
      <c r="Q19" s="49">
        <f>DCF!Q123</f>
        <v>0.15899184913324663</v>
      </c>
      <c r="R19" s="49">
        <f>DCF!R123</f>
        <v>0.14309266421992198</v>
      </c>
    </row>
    <row r="20" spans="2:18" x14ac:dyDescent="0.3">
      <c r="B20" s="2" t="s">
        <v>9</v>
      </c>
      <c r="J20" s="56"/>
      <c r="N20" s="49">
        <f>DCF!N124</f>
        <v>0.21809581499759481</v>
      </c>
      <c r="O20" s="49">
        <f>DCF!O124</f>
        <v>0.21531455712023992</v>
      </c>
      <c r="P20" s="49">
        <f>DCF!P124</f>
        <v>0.21354303808015995</v>
      </c>
      <c r="Q20" s="49">
        <f>DCF!Q124</f>
        <v>0.21088575952003999</v>
      </c>
      <c r="R20" s="49">
        <f>DCF!R124</f>
        <v>0.21</v>
      </c>
    </row>
    <row r="21" spans="2:18" x14ac:dyDescent="0.3">
      <c r="B21" s="2" t="s">
        <v>112</v>
      </c>
      <c r="I21" s="56"/>
      <c r="K21" s="56"/>
      <c r="N21" s="49">
        <f>DCF!N125</f>
        <v>0.21809581499759481</v>
      </c>
      <c r="O21" s="49">
        <f>DCF!O125</f>
        <v>0.23684601283226392</v>
      </c>
      <c r="P21" s="49">
        <f>DCF!P125</f>
        <v>0.23489734188817596</v>
      </c>
      <c r="Q21" s="49">
        <f>DCF!Q125</f>
        <v>0.23197433547204402</v>
      </c>
      <c r="R21" s="49">
        <f>DCF!R125</f>
        <v>0.23100000000000001</v>
      </c>
    </row>
    <row r="23" spans="2:18" x14ac:dyDescent="0.3">
      <c r="B23" s="2" t="s">
        <v>14</v>
      </c>
      <c r="D23" s="150">
        <f>D24*D17</f>
        <v>73.063064121024837</v>
      </c>
      <c r="E23" s="150">
        <f t="shared" ref="E23:M23" si="2">E24*E17</f>
        <v>88.145078913951167</v>
      </c>
      <c r="F23" s="150">
        <f t="shared" si="2"/>
        <v>150.51459789534448</v>
      </c>
      <c r="G23" s="150">
        <f t="shared" si="2"/>
        <v>147.40315017604104</v>
      </c>
      <c r="H23" s="150">
        <f t="shared" si="2"/>
        <v>157.06463986360242</v>
      </c>
      <c r="I23" s="150">
        <f t="shared" si="2"/>
        <v>86.465179927716477</v>
      </c>
      <c r="J23" s="150">
        <f t="shared" si="2"/>
        <v>167.66031796983569</v>
      </c>
      <c r="K23" s="150">
        <f t="shared" si="2"/>
        <v>279.588124504571</v>
      </c>
      <c r="L23" s="150">
        <f t="shared" si="2"/>
        <v>270.30672516363143</v>
      </c>
      <c r="M23" s="150">
        <f t="shared" si="2"/>
        <v>314.67724787887596</v>
      </c>
      <c r="N23" s="150">
        <f ca="1">N24*N17</f>
        <v>311.06062956200134</v>
      </c>
      <c r="O23" s="150">
        <f t="shared" ref="O23" ca="1" si="3">O24*O17</f>
        <v>328.30027209978994</v>
      </c>
      <c r="P23" s="150">
        <f t="shared" ref="P23" ca="1" si="4">P24*P17</f>
        <v>351.64708564033083</v>
      </c>
      <c r="Q23" s="150">
        <f t="shared" ref="Q23" ca="1" si="5">Q24*Q17</f>
        <v>374.1301786540173</v>
      </c>
      <c r="R23" s="150">
        <f ca="1">R24*R17</f>
        <v>394.9122878563557</v>
      </c>
    </row>
    <row r="24" spans="2:18" x14ac:dyDescent="0.3">
      <c r="B24" s="44" t="s">
        <v>280</v>
      </c>
      <c r="D24" s="149">
        <f>DCF!D61</f>
        <v>0.27801734080516693</v>
      </c>
      <c r="E24" s="149">
        <f>DCF!E61</f>
        <v>0.28232744855451131</v>
      </c>
      <c r="F24" s="149">
        <f>DCF!F61</f>
        <v>0.43768885951678055</v>
      </c>
      <c r="G24" s="149">
        <f>DCF!G61</f>
        <v>0.32359175113596644</v>
      </c>
      <c r="H24" s="149">
        <f>DCF!H61</f>
        <v>0.28058721206873688</v>
      </c>
      <c r="I24" s="149">
        <f>DCF!I61</f>
        <v>0.28124366876182338</v>
      </c>
      <c r="J24" s="149">
        <f>DCF!J61</f>
        <v>0.2688022586925703</v>
      </c>
      <c r="K24" s="149">
        <f>DCF!K61</f>
        <v>0.35853324138075948</v>
      </c>
      <c r="L24" s="149">
        <f>DCF!L61</f>
        <v>0.28750973808850799</v>
      </c>
      <c r="M24" s="149">
        <f>DCF!M61</f>
        <v>0.29558937873363256</v>
      </c>
      <c r="N24" s="149">
        <f>DCF!N61</f>
        <v>0.29833565713145871</v>
      </c>
      <c r="O24" s="149">
        <f>DCF!O61</f>
        <v>0.29833565713145871</v>
      </c>
      <c r="P24" s="149">
        <f>DCF!P61</f>
        <v>0.29833565713145871</v>
      </c>
      <c r="Q24" s="149">
        <f>DCF!Q61</f>
        <v>0.29833565713145871</v>
      </c>
      <c r="R24" s="149">
        <f>DCF!R61</f>
        <v>0.29833565713145871</v>
      </c>
    </row>
    <row r="25" spans="2:18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8" x14ac:dyDescent="0.3">
      <c r="B26" s="122" t="s">
        <v>247</v>
      </c>
      <c r="C26" s="123"/>
      <c r="D26" s="124">
        <f>D17-D23</f>
        <v>189.73732059392373</v>
      </c>
      <c r="E26" s="124">
        <f t="shared" ref="E26:Q26" si="6">E17-E23</f>
        <v>224.06359709415671</v>
      </c>
      <c r="F26" s="124">
        <f t="shared" si="6"/>
        <v>193.37032086067859</v>
      </c>
      <c r="G26" s="124">
        <f t="shared" si="6"/>
        <v>308.11881433196442</v>
      </c>
      <c r="H26" s="124">
        <f t="shared" si="6"/>
        <v>402.70655820912191</v>
      </c>
      <c r="I26" s="124">
        <f t="shared" si="6"/>
        <v>220.97349169955908</v>
      </c>
      <c r="J26" s="124">
        <f t="shared" si="6"/>
        <v>456.07074286767443</v>
      </c>
      <c r="K26" s="124">
        <f t="shared" si="6"/>
        <v>500.22276116906897</v>
      </c>
      <c r="L26" s="124">
        <f t="shared" si="6"/>
        <v>669.85873483348098</v>
      </c>
      <c r="M26" s="124">
        <f t="shared" si="6"/>
        <v>749.89837803508567</v>
      </c>
      <c r="N26" s="124">
        <f t="shared" ca="1" si="6"/>
        <v>731.59257707409142</v>
      </c>
      <c r="O26" s="124">
        <f t="shared" ca="1" si="6"/>
        <v>772.13899572506693</v>
      </c>
      <c r="P26" s="124">
        <f t="shared" ca="1" si="6"/>
        <v>827.04904817575186</v>
      </c>
      <c r="Q26" s="124">
        <f t="shared" ca="1" si="6"/>
        <v>879.92769110025233</v>
      </c>
      <c r="R26" s="125">
        <f ca="1">R17-R23</f>
        <v>928.8057405331956</v>
      </c>
    </row>
    <row r="28" spans="2:18" x14ac:dyDescent="0.3">
      <c r="B28" s="2" t="s">
        <v>59</v>
      </c>
      <c r="D28" s="36">
        <f>DCF!D65</f>
        <v>54.001984306411522</v>
      </c>
      <c r="E28" s="36">
        <f>DCF!E65</f>
        <v>63.755121084272595</v>
      </c>
      <c r="F28" s="36">
        <f>DCF!F65</f>
        <v>75.055169984610345</v>
      </c>
      <c r="G28" s="36">
        <f>DCF!G65</f>
        <v>79.20321772066518</v>
      </c>
      <c r="H28" s="36">
        <f>DCF!H65</f>
        <v>101.77812419860196</v>
      </c>
      <c r="I28" s="36">
        <f>DCF!I65</f>
        <v>69.895652457961717</v>
      </c>
      <c r="J28" s="36">
        <f>DCF!J65</f>
        <v>101.10840353213246</v>
      </c>
      <c r="K28" s="36">
        <f>DCF!K65</f>
        <v>131.24816755933466</v>
      </c>
      <c r="L28" s="36">
        <f>DCF!L65</f>
        <v>161.56759553421864</v>
      </c>
      <c r="M28" s="36">
        <f>DCF!M65</f>
        <v>190.160389020943</v>
      </c>
      <c r="N28" s="36">
        <f>DCF!N65</f>
        <v>185.19478938365128</v>
      </c>
      <c r="O28" s="36">
        <f>DCF!O65</f>
        <v>197.98345484448316</v>
      </c>
      <c r="P28" s="36">
        <f>DCF!P65</f>
        <v>210.05119063472893</v>
      </c>
      <c r="Q28" s="36">
        <f>DCF!Q65</f>
        <v>217.0823170787518</v>
      </c>
      <c r="R28" s="36">
        <f>DCF!R65</f>
        <v>235.97661345683585</v>
      </c>
    </row>
    <row r="29" spans="2:18" x14ac:dyDescent="0.3">
      <c r="B29" s="44" t="s">
        <v>13</v>
      </c>
      <c r="D29" s="151"/>
      <c r="E29" s="149">
        <f>DCF!E66</f>
        <v>0.72699318202757901</v>
      </c>
      <c r="F29" s="149">
        <f>DCF!F66</f>
        <v>0.69344638965778482</v>
      </c>
      <c r="G29" s="149">
        <f>DCF!G66</f>
        <v>0.64664133862925099</v>
      </c>
      <c r="H29" s="149">
        <f>DCF!H66</f>
        <v>0.62851996936141463</v>
      </c>
      <c r="I29" s="149">
        <f>DCF!I66</f>
        <v>0.37684066281694711</v>
      </c>
      <c r="J29" s="149">
        <f>DCF!J66</f>
        <v>0.45096207742938399</v>
      </c>
      <c r="K29" s="149">
        <f>DCF!K66</f>
        <v>0.44980197319086146</v>
      </c>
      <c r="L29" s="149">
        <f>DCF!L66</f>
        <v>0.42586823781239758</v>
      </c>
      <c r="M29" s="149">
        <f>DCF!M66</f>
        <v>0.42586823781239752</v>
      </c>
      <c r="N29" s="149">
        <f>DCF!N66</f>
        <v>0.42586823781239752</v>
      </c>
      <c r="O29" s="149">
        <f>DCF!O66</f>
        <v>0.42586823781239752</v>
      </c>
      <c r="P29" s="149">
        <f>DCF!P66</f>
        <v>0.42586823781239752</v>
      </c>
      <c r="Q29" s="149">
        <f>DCF!Q66</f>
        <v>0.42586823781239752</v>
      </c>
      <c r="R29" s="149">
        <f>DCF!R66</f>
        <v>0.42586823781239752</v>
      </c>
    </row>
    <row r="31" spans="2:18" x14ac:dyDescent="0.3">
      <c r="B31" s="2" t="s">
        <v>60</v>
      </c>
      <c r="D31" s="152">
        <f>DCF!D82</f>
        <v>105.59097777651596</v>
      </c>
      <c r="E31" s="152">
        <f>DCF!E82</f>
        <v>108.69347763812536</v>
      </c>
      <c r="F31" s="152">
        <f>DCF!F82</f>
        <v>109.47022085693655</v>
      </c>
      <c r="G31" s="152">
        <f>DCF!G82</f>
        <v>146.01614075185526</v>
      </c>
      <c r="H31" s="152">
        <f>DCF!H82</f>
        <v>177.90132028780968</v>
      </c>
      <c r="I31" s="152">
        <f>DCF!I82</f>
        <v>86.381677774877502</v>
      </c>
      <c r="J31" s="152">
        <f>DCF!J82</f>
        <v>177.90544147004684</v>
      </c>
      <c r="K31" s="152">
        <f>DCF!K82</f>
        <v>287.26917879215608</v>
      </c>
      <c r="L31" s="152">
        <f>DCF!L82</f>
        <v>277.6085988415785</v>
      </c>
      <c r="M31" s="152">
        <f>DCF!M82</f>
        <v>293.52201728391435</v>
      </c>
      <c r="N31" s="152">
        <f>DCF!N82</f>
        <v>322.50618368118836</v>
      </c>
      <c r="O31" s="152">
        <f>DCF!O82</f>
        <v>343.5960305541339</v>
      </c>
      <c r="P31" s="152">
        <f>DCF!P82</f>
        <v>352.39617182028923</v>
      </c>
      <c r="Q31" s="152">
        <f>DCF!Q82</f>
        <v>366.37572259471904</v>
      </c>
      <c r="R31" s="152">
        <f>DCF!R82</f>
        <v>335.15830315835683</v>
      </c>
    </row>
    <row r="32" spans="2:18" x14ac:dyDescent="0.3">
      <c r="B32" s="44" t="s">
        <v>13</v>
      </c>
      <c r="D32" s="149">
        <f>DCF!D83</f>
        <v>0.73589229530560929</v>
      </c>
      <c r="E32" s="149">
        <f>DCF!E83</f>
        <v>0.72699318202757901</v>
      </c>
      <c r="F32" s="149">
        <f>DCF!F83</f>
        <v>0.69344638965778482</v>
      </c>
      <c r="G32" s="149">
        <f>DCF!G83</f>
        <v>0.64664133862925099</v>
      </c>
      <c r="H32" s="149">
        <f>DCF!H83</f>
        <v>0.62851996936141463</v>
      </c>
      <c r="I32" s="149">
        <f>DCF!I83</f>
        <v>0.37684066281694706</v>
      </c>
      <c r="J32" s="149">
        <f>DCF!J83</f>
        <v>0.45096207742938399</v>
      </c>
      <c r="K32" s="149">
        <f>DCF!K83</f>
        <v>0.44980197319086157</v>
      </c>
      <c r="L32" s="149">
        <f>DCF!L83</f>
        <v>0.42586823781239752</v>
      </c>
      <c r="M32" s="149">
        <f>DCF!M83</f>
        <v>0.42586823781239752</v>
      </c>
      <c r="N32" s="149">
        <f>DCF!N83</f>
        <v>0.42586823781239752</v>
      </c>
      <c r="O32" s="149">
        <f>DCF!O83</f>
        <v>0.42586823781239758</v>
      </c>
      <c r="P32" s="149">
        <f>DCF!P83</f>
        <v>0.42586823781239747</v>
      </c>
      <c r="Q32" s="149">
        <f>DCF!Q83</f>
        <v>0.42586823781239752</v>
      </c>
      <c r="R32" s="149">
        <f>DCF!R83</f>
        <v>0.42586823781239752</v>
      </c>
    </row>
    <row r="34" spans="2:18" x14ac:dyDescent="0.3">
      <c r="B34" s="2" t="s">
        <v>61</v>
      </c>
      <c r="D34" s="36">
        <f>DCF!D98</f>
        <v>43.964413398443014</v>
      </c>
      <c r="E34" s="36">
        <f>DCF!E98</f>
        <v>-0.43837688876263015</v>
      </c>
      <c r="F34" s="36">
        <f>DCF!F98</f>
        <v>-72.553908857114706</v>
      </c>
      <c r="G34" s="36">
        <f>DCF!G98</f>
        <v>-72.989641097776712</v>
      </c>
      <c r="H34" s="36">
        <f>DCF!H98</f>
        <v>121.97749897393909</v>
      </c>
      <c r="I34" s="36">
        <f>DCF!I98</f>
        <v>17.918396676283017</v>
      </c>
      <c r="J34" s="36">
        <f>DCF!J98</f>
        <v>-58.233184020533777</v>
      </c>
      <c r="K34" s="36">
        <f>DCF!K98</f>
        <v>268.5281795791588</v>
      </c>
      <c r="L34" s="36">
        <f>DCF!L98</f>
        <v>-84.842747941699272</v>
      </c>
      <c r="M34" s="36">
        <f>DCF!M98</f>
        <v>22.100432201274369</v>
      </c>
      <c r="N34" s="36">
        <f>DCF!N98</f>
        <v>92.10451350912399</v>
      </c>
      <c r="O34" s="36">
        <f>DCF!O98</f>
        <v>98.464810224928044</v>
      </c>
      <c r="P34" s="36">
        <f>DCF!P98</f>
        <v>104.46656080234115</v>
      </c>
      <c r="Q34" s="36">
        <f>DCF!Q98</f>
        <v>107.96341124129326</v>
      </c>
      <c r="R34" s="36">
        <f>DCF!R98</f>
        <v>117.36027376530041</v>
      </c>
    </row>
    <row r="35" spans="2:18" x14ac:dyDescent="0.3">
      <c r="B35" s="44" t="s">
        <v>13</v>
      </c>
      <c r="D35" s="149">
        <f>DCF!D99</f>
        <v>2.8994095188454579E-2</v>
      </c>
      <c r="E35" s="149">
        <f>DCF!E99</f>
        <v>-2.5720954516138939E-4</v>
      </c>
      <c r="F35" s="149">
        <f>DCF!F99</f>
        <v>-3.9494470177764369E-2</v>
      </c>
      <c r="G35" s="149">
        <f>DCF!G99</f>
        <v>-3.4326049267117943E-2</v>
      </c>
      <c r="H35" s="149">
        <f>DCF!H99</f>
        <v>4.8770184474841771E-2</v>
      </c>
      <c r="I35" s="149">
        <f>DCF!I99</f>
        <v>1.0801977973497228E-2</v>
      </c>
      <c r="J35" s="149">
        <f>DCF!J99</f>
        <v>-2.0639108962559161E-2</v>
      </c>
      <c r="K35" s="149">
        <f>DCF!K99</f>
        <v>7.3607135820424788E-2</v>
      </c>
      <c r="L35" s="149">
        <f>DCF!L99</f>
        <v>-2.0710805946142732E-2</v>
      </c>
      <c r="M35" s="149">
        <f>DCF!M99</f>
        <v>4.9012450361848739E-3</v>
      </c>
      <c r="N35" s="149">
        <f>DCF!N99</f>
        <v>1.9265858303488977E-2</v>
      </c>
      <c r="O35" s="149">
        <f>DCF!O99</f>
        <v>1.9265858303488981E-2</v>
      </c>
      <c r="P35" s="149">
        <f>DCF!P99</f>
        <v>1.9265858303488977E-2</v>
      </c>
      <c r="Q35" s="149">
        <f>DCF!Q99</f>
        <v>1.9265858303488977E-2</v>
      </c>
      <c r="R35" s="149">
        <f>DCF!R99</f>
        <v>1.9265858303488974E-2</v>
      </c>
    </row>
    <row r="37" spans="2:18" x14ac:dyDescent="0.3">
      <c r="B37" s="68" t="s">
        <v>113</v>
      </c>
      <c r="C37" s="69"/>
      <c r="D37" s="70">
        <f>D26+D28-D31-D34</f>
        <v>94.183913725376271</v>
      </c>
      <c r="E37" s="70">
        <f t="shared" ref="E37:R37" si="7">E26+E28-E31-E34</f>
        <v>179.5636174290666</v>
      </c>
      <c r="F37" s="70">
        <f t="shared" si="7"/>
        <v>231.50917884546709</v>
      </c>
      <c r="G37" s="70">
        <f t="shared" si="7"/>
        <v>314.29553239855102</v>
      </c>
      <c r="H37" s="70">
        <f t="shared" si="7"/>
        <v>204.60586314597515</v>
      </c>
      <c r="I37" s="70">
        <f t="shared" si="7"/>
        <v>186.56906970636027</v>
      </c>
      <c r="J37" s="70">
        <f t="shared" si="7"/>
        <v>437.50688895029379</v>
      </c>
      <c r="K37" s="70">
        <f t="shared" si="7"/>
        <v>75.673570357088693</v>
      </c>
      <c r="L37" s="70">
        <f t="shared" si="7"/>
        <v>638.66047946782044</v>
      </c>
      <c r="M37" s="70">
        <f t="shared" si="7"/>
        <v>624.43631757084006</v>
      </c>
      <c r="N37" s="70">
        <f ca="1">N26+N28-N31-N34</f>
        <v>502.17666926743027</v>
      </c>
      <c r="O37" s="70">
        <f t="shared" ca="1" si="7"/>
        <v>528.06160979048809</v>
      </c>
      <c r="P37" s="70">
        <f t="shared" ca="1" si="7"/>
        <v>580.23750618785027</v>
      </c>
      <c r="Q37" s="70">
        <f t="shared" ca="1" si="7"/>
        <v>622.67087434299197</v>
      </c>
      <c r="R37" s="71">
        <f t="shared" ca="1" si="7"/>
        <v>712.26377706637413</v>
      </c>
    </row>
    <row r="38" spans="2:18" x14ac:dyDescent="0.3">
      <c r="B38" s="72" t="s">
        <v>114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73">
        <f ca="1">(N37*N40)/(1+D5)^N41</f>
        <v>20.888846545293884</v>
      </c>
      <c r="O38" s="73">
        <f ca="1">O37/(1+$D$5)^O41</f>
        <v>506.30687924234633</v>
      </c>
      <c r="P38" s="73">
        <f ca="1">P37/(1+$D$5)^P41</f>
        <v>513.16279037804213</v>
      </c>
      <c r="Q38" s="73">
        <f t="shared" ref="Q38" ca="1" si="8">Q37/(1+$D$5)^Q41</f>
        <v>507.95827443142042</v>
      </c>
      <c r="R38" s="74">
        <f ca="1">R37/(1+$D$5)^R41</f>
        <v>535.95764833999647</v>
      </c>
    </row>
    <row r="40" spans="2:18" x14ac:dyDescent="0.3">
      <c r="B40" s="2" t="s">
        <v>134</v>
      </c>
      <c r="N40" s="66">
        <f ca="1">DCF!N144</f>
        <v>4.1666666666666664E-2</v>
      </c>
      <c r="O40" s="66"/>
      <c r="P40" s="66"/>
      <c r="Q40" s="66"/>
      <c r="R40" s="66"/>
    </row>
    <row r="41" spans="2:18" x14ac:dyDescent="0.3">
      <c r="B41" s="2" t="s">
        <v>135</v>
      </c>
      <c r="N41" s="66">
        <f ca="1">DCF!N145</f>
        <v>2.0833333333333332E-2</v>
      </c>
      <c r="O41" s="66">
        <f ca="1">DCF!O145</f>
        <v>0.52083333333333337</v>
      </c>
      <c r="P41" s="66">
        <f ca="1">DCF!P145</f>
        <v>1.5208333333333335</v>
      </c>
      <c r="Q41" s="66">
        <f ca="1">DCF!Q145</f>
        <v>2.5208333333333335</v>
      </c>
      <c r="R41" s="66">
        <f ca="1">DCF!R145</f>
        <v>3.5208333333333335</v>
      </c>
    </row>
    <row r="43" spans="2:18" x14ac:dyDescent="0.3">
      <c r="B43" s="2" t="s">
        <v>139</v>
      </c>
      <c r="R43" s="47">
        <f ca="1">(R37*(1+D6))/(D5-D6)</f>
        <v>12347.645603923103</v>
      </c>
    </row>
    <row r="44" spans="2:18" x14ac:dyDescent="0.3">
      <c r="B44" s="2" t="s">
        <v>140</v>
      </c>
      <c r="R44" s="47">
        <f ca="1">R43/(1+WACC)^R41</f>
        <v>9291.2419717191697</v>
      </c>
    </row>
    <row r="46" spans="2:18" x14ac:dyDescent="0.3">
      <c r="B46" s="2" t="s">
        <v>141</v>
      </c>
      <c r="R46" s="47">
        <f ca="1">SUM(N38:R38)+R44</f>
        <v>11375.51641065627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2248-5DCF-4FA3-937A-F9C8EAECD4F6}">
  <dimension ref="A2:R46"/>
  <sheetViews>
    <sheetView showGridLines="0" workbookViewId="0">
      <selection activeCell="B3" sqref="B3"/>
    </sheetView>
  </sheetViews>
  <sheetFormatPr defaultColWidth="9" defaultRowHeight="15.6" x14ac:dyDescent="0.3"/>
  <cols>
    <col min="1" max="1" width="3.59765625" style="2" customWidth="1"/>
    <col min="2" max="2" width="14.8984375" style="2" bestFit="1" customWidth="1"/>
    <col min="3" max="3" width="9" style="2"/>
    <col min="4" max="18" width="15.5" style="2" customWidth="1"/>
    <col min="19" max="16384" width="9" style="2"/>
  </cols>
  <sheetData>
    <row r="2" spans="1:18" s="1" customFormat="1" ht="21" x14ac:dyDescent="0.4">
      <c r="B2" s="141" t="s">
        <v>369</v>
      </c>
    </row>
    <row r="3" spans="1:18" ht="15.75" customHeight="1" x14ac:dyDescent="0.3"/>
    <row r="4" spans="1:18" x14ac:dyDescent="0.3">
      <c r="A4" s="2" t="s">
        <v>11</v>
      </c>
      <c r="B4" s="139" t="s">
        <v>0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5.75" customHeight="1" x14ac:dyDescent="0.3">
      <c r="B5" s="2" t="s">
        <v>5</v>
      </c>
      <c r="D5" s="61">
        <f>WACC</f>
        <v>8.4126281633890992E-2</v>
      </c>
    </row>
    <row r="6" spans="1:18" ht="15.75" customHeight="1" x14ac:dyDescent="0.3">
      <c r="B6" s="2" t="s">
        <v>6</v>
      </c>
      <c r="D6" s="61">
        <f>TGR</f>
        <v>2.5000000000000001E-2</v>
      </c>
    </row>
    <row r="7" spans="1:18" ht="15.75" customHeight="1" x14ac:dyDescent="0.3"/>
    <row r="8" spans="1:18" ht="15.75" customHeight="1" x14ac:dyDescent="0.3"/>
    <row r="9" spans="1:18" x14ac:dyDescent="0.3">
      <c r="A9" s="51" t="s">
        <v>11</v>
      </c>
      <c r="B9" s="139" t="s">
        <v>1</v>
      </c>
      <c r="C9" s="139"/>
      <c r="D9" s="139">
        <v>2015</v>
      </c>
      <c r="E9" s="139">
        <v>2016</v>
      </c>
      <c r="F9" s="139">
        <v>2017</v>
      </c>
      <c r="G9" s="139">
        <v>2018</v>
      </c>
      <c r="H9" s="139">
        <v>2019</v>
      </c>
      <c r="I9" s="139">
        <v>2020</v>
      </c>
      <c r="J9" s="139">
        <v>2021</v>
      </c>
      <c r="K9" s="139">
        <v>2022</v>
      </c>
      <c r="L9" s="139">
        <v>2023</v>
      </c>
      <c r="M9" s="139">
        <v>2024</v>
      </c>
      <c r="N9" s="139">
        <v>2025</v>
      </c>
      <c r="O9" s="139">
        <v>2026</v>
      </c>
      <c r="P9" s="139">
        <v>2027</v>
      </c>
      <c r="Q9" s="139">
        <v>2028</v>
      </c>
      <c r="R9" s="139">
        <v>2029</v>
      </c>
    </row>
    <row r="10" spans="1:18" ht="3.75" customHeight="1" x14ac:dyDescent="0.3"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</row>
    <row r="11" spans="1:18" x14ac:dyDescent="0.3">
      <c r="A11" s="2" t="s">
        <v>11</v>
      </c>
      <c r="B11" s="2" t="s">
        <v>3</v>
      </c>
      <c r="D11" s="36">
        <f>DCF!D27</f>
        <v>401.52499999999998</v>
      </c>
      <c r="E11" s="36">
        <f>DCF!E27</f>
        <v>453.28699999999998</v>
      </c>
      <c r="F11" s="36">
        <f>DCF!F27</f>
        <v>577.59</v>
      </c>
      <c r="G11" s="36">
        <f>DCF!G27</f>
        <v>858.85599999999999</v>
      </c>
      <c r="H11" s="36">
        <f>DCF!H27</f>
        <v>1137.8219999999999</v>
      </c>
      <c r="I11" s="36">
        <f>DCF!I27</f>
        <v>2284.0680000000002</v>
      </c>
      <c r="J11" s="36">
        <f>DCF!J27</f>
        <v>2777.944</v>
      </c>
      <c r="K11" s="36">
        <f>DCF!K27</f>
        <v>3699.7910000000002</v>
      </c>
      <c r="L11" s="36">
        <f>DCF!L27</f>
        <v>4550.1035585837708</v>
      </c>
      <c r="M11" s="36">
        <f>DCF!M27</f>
        <v>5008.3873021793679</v>
      </c>
      <c r="N11" s="36">
        <f ca="1">M11*(1+N12)</f>
        <v>5310.0193723426746</v>
      </c>
      <c r="O11" s="36">
        <f t="shared" ref="O11:Q11" ca="1" si="0">N11*(1+O12)</f>
        <v>5676.7038863586058</v>
      </c>
      <c r="P11" s="36">
        <f t="shared" ca="1" si="0"/>
        <v>6130.8401972672946</v>
      </c>
      <c r="Q11" s="36">
        <f t="shared" ca="1" si="0"/>
        <v>6605.0160628369586</v>
      </c>
      <c r="R11" s="36">
        <f ca="1">Q11*(1+R12)</f>
        <v>7001.3170266071766</v>
      </c>
    </row>
    <row r="12" spans="1:18" x14ac:dyDescent="0.3">
      <c r="B12" s="44" t="s">
        <v>12</v>
      </c>
      <c r="D12" s="36"/>
      <c r="E12" s="153">
        <f>DCF!E28</f>
        <v>0.1289135172156155</v>
      </c>
      <c r="F12" s="153">
        <f>DCF!F28</f>
        <v>0.27422582160970888</v>
      </c>
      <c r="G12" s="153">
        <f>DCF!G28</f>
        <v>0.4869648020221955</v>
      </c>
      <c r="H12" s="153">
        <f>DCF!H28</f>
        <v>0.3248111441266055</v>
      </c>
      <c r="I12" s="153">
        <f>DCF!I28</f>
        <v>1.0074036184921722</v>
      </c>
      <c r="J12" s="153">
        <f>DCF!J28</f>
        <v>0.21622648712735337</v>
      </c>
      <c r="K12" s="153">
        <f>DCF!K28</f>
        <v>0.33184506239146661</v>
      </c>
      <c r="L12" s="153">
        <f>DCF!L28</f>
        <v>0.22982718715294204</v>
      </c>
      <c r="M12" s="153">
        <f>DCF!M28</f>
        <v>0.1007194095024595</v>
      </c>
      <c r="N12" s="153">
        <f ca="1">OFFSET(N12,DCF!$D$11,0)</f>
        <v>6.0225388326508478E-2</v>
      </c>
      <c r="O12" s="153">
        <f ca="1">OFFSET(O12,DCF!$D$11,0)</f>
        <v>6.905521210069665E-2</v>
      </c>
      <c r="P12" s="153">
        <f ca="1">OFFSET(P12,DCF!$D$11,0)</f>
        <v>0.08</v>
      </c>
      <c r="Q12" s="153">
        <f ca="1">OFFSET(Q12,DCF!$D$11,0)</f>
        <v>7.7342721439880038E-2</v>
      </c>
      <c r="R12" s="153">
        <f ca="1">OFFSET(R12,DCF!$D$11,0)</f>
        <v>0.06</v>
      </c>
    </row>
    <row r="13" spans="1:18" x14ac:dyDescent="0.3">
      <c r="B13" s="2" t="s">
        <v>8</v>
      </c>
      <c r="N13" s="49">
        <f>DCF!N117</f>
        <v>6.0225388326508478E-2</v>
      </c>
      <c r="O13" s="49">
        <f>DCF!O117</f>
        <v>5.5244169680557322E-2</v>
      </c>
      <c r="P13" s="49">
        <f>DCF!P117</f>
        <v>6.4000000000000001E-2</v>
      </c>
      <c r="Q13" s="49">
        <f>DCF!Q117</f>
        <v>6.1874177151904033E-2</v>
      </c>
      <c r="R13" s="49">
        <f>DCF!R117</f>
        <v>4.8000000000000001E-2</v>
      </c>
    </row>
    <row r="14" spans="1:18" x14ac:dyDescent="0.3">
      <c r="B14" s="2" t="s">
        <v>9</v>
      </c>
      <c r="M14" s="126"/>
      <c r="N14" s="49">
        <f>DCF!N118</f>
        <v>6.0225388326508478E-2</v>
      </c>
      <c r="O14" s="49">
        <f>DCF!O118</f>
        <v>6.905521210069665E-2</v>
      </c>
      <c r="P14" s="49">
        <f>DCF!P118</f>
        <v>0.08</v>
      </c>
      <c r="Q14" s="49">
        <f>DCF!Q118</f>
        <v>7.7342721439880038E-2</v>
      </c>
      <c r="R14" s="49">
        <f>DCF!R118</f>
        <v>0.06</v>
      </c>
    </row>
    <row r="15" spans="1:18" x14ac:dyDescent="0.3">
      <c r="B15" s="2" t="s">
        <v>112</v>
      </c>
      <c r="N15" s="49">
        <f>DCF!N119</f>
        <v>6.0225388326508478E-2</v>
      </c>
      <c r="O15" s="49">
        <f>DCF!O119</f>
        <v>8.2866254520835972E-2</v>
      </c>
      <c r="P15" s="49">
        <f>DCF!P119</f>
        <v>9.6000000000000002E-2</v>
      </c>
      <c r="Q15" s="49">
        <f>DCF!Q119</f>
        <v>9.2811265727856043E-2</v>
      </c>
      <c r="R15" s="49">
        <f>DCF!R119</f>
        <v>7.1999999999999995E-2</v>
      </c>
    </row>
    <row r="17" spans="2:18" x14ac:dyDescent="0.3">
      <c r="B17" s="2" t="s">
        <v>4</v>
      </c>
      <c r="D17" s="36">
        <f>DCF!D47</f>
        <v>69.59000455224232</v>
      </c>
      <c r="E17" s="36">
        <f>DCF!E47</f>
        <v>83.03432562643107</v>
      </c>
      <c r="F17" s="36">
        <f>DCF!F47</f>
        <v>108.1205565531385</v>
      </c>
      <c r="G17" s="36">
        <f>DCF!G47</f>
        <v>183.98917416710484</v>
      </c>
      <c r="H17" s="36">
        <f>DCF!H47</f>
        <v>254.6593050620009</v>
      </c>
      <c r="I17" s="36">
        <f>DCF!I47</f>
        <v>423.3228047785957</v>
      </c>
      <c r="J17" s="36">
        <f>DCF!J47</f>
        <v>614.10306587857303</v>
      </c>
      <c r="K17" s="36">
        <f>DCF!K47</f>
        <v>790.85440186631729</v>
      </c>
      <c r="L17" s="36">
        <f>DCF!L47</f>
        <v>1044.2580847009629</v>
      </c>
      <c r="M17" s="36">
        <f>DCF!M47</f>
        <v>1182.442614026319</v>
      </c>
      <c r="N17" s="36">
        <f ca="1">N11*N18</f>
        <v>1158.0930026640924</v>
      </c>
      <c r="O17" s="36">
        <f t="shared" ref="O17:R17" ca="1" si="1">O11*O18</f>
        <v>1222.2769831940479</v>
      </c>
      <c r="P17" s="36">
        <f t="shared" ca="1" si="1"/>
        <v>1309.1982417084253</v>
      </c>
      <c r="Q17" s="36">
        <f t="shared" ca="1" si="1"/>
        <v>1392.9038290534361</v>
      </c>
      <c r="R17" s="36">
        <f t="shared" ca="1" si="1"/>
        <v>1470.2765755875071</v>
      </c>
    </row>
    <row r="18" spans="2:18" x14ac:dyDescent="0.3">
      <c r="B18" s="44" t="s">
        <v>13</v>
      </c>
      <c r="C18" s="44"/>
      <c r="D18" s="153">
        <f>DCF!D48</f>
        <v>0.17331425079943297</v>
      </c>
      <c r="E18" s="153">
        <f>DCF!E48</f>
        <v>0.18318267593474127</v>
      </c>
      <c r="F18" s="153">
        <f>DCF!F48</f>
        <v>0.18719257008109297</v>
      </c>
      <c r="G18" s="153">
        <f>DCF!G48</f>
        <v>0.214225870421939</v>
      </c>
      <c r="H18" s="153">
        <f>DCF!H48</f>
        <v>0.22381295585952893</v>
      </c>
      <c r="I18" s="153">
        <f>DCF!I48</f>
        <v>0.18533721622061849</v>
      </c>
      <c r="J18" s="153">
        <f>DCF!J48</f>
        <v>0.2210638752539911</v>
      </c>
      <c r="K18" s="153">
        <f>DCF!K48</f>
        <v>0.21375650729090298</v>
      </c>
      <c r="L18" s="153">
        <f>DCF!L48</f>
        <v>0.22950204786679412</v>
      </c>
      <c r="M18" s="153">
        <f>DCF!M48</f>
        <v>0.23609248699911578</v>
      </c>
      <c r="N18" s="153">
        <f ca="1">OFFSET(N18,DCF!$D$11,0)</f>
        <v>0.21809581499759481</v>
      </c>
      <c r="O18" s="153">
        <f ca="1">OFFSET(O18,DCF!$D$11,0)</f>
        <v>0.21531455712023992</v>
      </c>
      <c r="P18" s="153">
        <f ca="1">OFFSET(P18,DCF!$D$11,0)</f>
        <v>0.21354303808015995</v>
      </c>
      <c r="Q18" s="153">
        <f ca="1">OFFSET(Q18,DCF!$D$11,0)</f>
        <v>0.21088575952003999</v>
      </c>
      <c r="R18" s="153">
        <f ca="1">OFFSET(R18,DCF!$D$11,0)</f>
        <v>0.21</v>
      </c>
    </row>
    <row r="19" spans="2:18" x14ac:dyDescent="0.3">
      <c r="B19" s="2" t="s">
        <v>8</v>
      </c>
      <c r="N19" s="49">
        <f>DCF!N123</f>
        <v>0.21809581499759481</v>
      </c>
      <c r="O19" s="49">
        <f>DCF!O123</f>
        <v>0.19628623349783533</v>
      </c>
      <c r="P19" s="49">
        <f>DCF!P123</f>
        <v>0.17665761014805181</v>
      </c>
      <c r="Q19" s="49">
        <f>DCF!Q123</f>
        <v>0.15899184913324663</v>
      </c>
      <c r="R19" s="49">
        <f>DCF!R123</f>
        <v>0.14309266421992198</v>
      </c>
    </row>
    <row r="20" spans="2:18" x14ac:dyDescent="0.3">
      <c r="B20" s="2" t="s">
        <v>9</v>
      </c>
      <c r="J20" s="56"/>
      <c r="N20" s="49">
        <f>DCF!N124</f>
        <v>0.21809581499759481</v>
      </c>
      <c r="O20" s="49">
        <f>DCF!O124</f>
        <v>0.21531455712023992</v>
      </c>
      <c r="P20" s="49">
        <f>DCF!P124</f>
        <v>0.21354303808015995</v>
      </c>
      <c r="Q20" s="49">
        <f>DCF!Q124</f>
        <v>0.21088575952003999</v>
      </c>
      <c r="R20" s="49">
        <f>DCF!R124</f>
        <v>0.21</v>
      </c>
    </row>
    <row r="21" spans="2:18" x14ac:dyDescent="0.3">
      <c r="B21" s="2" t="s">
        <v>112</v>
      </c>
      <c r="I21" s="56"/>
      <c r="K21" s="56"/>
      <c r="N21" s="49">
        <f>DCF!N125</f>
        <v>0.21809581499759481</v>
      </c>
      <c r="O21" s="49">
        <f>DCF!O125</f>
        <v>0.23684601283226392</v>
      </c>
      <c r="P21" s="49">
        <f>DCF!P125</f>
        <v>0.23489734188817596</v>
      </c>
      <c r="Q21" s="49">
        <f>DCF!Q125</f>
        <v>0.23197433547204402</v>
      </c>
      <c r="R21" s="49">
        <f>DCF!R125</f>
        <v>0.23100000000000001</v>
      </c>
    </row>
    <row r="23" spans="2:18" x14ac:dyDescent="0.3">
      <c r="B23" s="2" t="s">
        <v>14</v>
      </c>
      <c r="D23" s="150">
        <f>D17*D24</f>
        <v>19.34722801223387</v>
      </c>
      <c r="E23" s="150">
        <f t="shared" ref="E23:Q23" si="2">E17*E24</f>
        <v>23.442869296554758</v>
      </c>
      <c r="F23" s="150">
        <f t="shared" si="2"/>
        <v>47.323163088062763</v>
      </c>
      <c r="G23" s="150">
        <f t="shared" si="2"/>
        <v>59.537379058793775</v>
      </c>
      <c r="H23" s="150">
        <f t="shared" si="2"/>
        <v>71.454144434708809</v>
      </c>
      <c r="I23" s="150">
        <f t="shared" si="2"/>
        <v>119.0568586864774</v>
      </c>
      <c r="J23" s="150">
        <f t="shared" si="2"/>
        <v>165.07229117819273</v>
      </c>
      <c r="K23" s="150">
        <f t="shared" si="2"/>
        <v>283.54759216137251</v>
      </c>
      <c r="L23" s="150">
        <f t="shared" si="2"/>
        <v>300.23436842918085</v>
      </c>
      <c r="M23" s="150">
        <f>M17*M24</f>
        <v>349.51747766821211</v>
      </c>
      <c r="N23" s="150">
        <f ca="1">N17*N24</f>
        <v>345.50043696913616</v>
      </c>
      <c r="O23" s="150">
        <f t="shared" ca="1" si="2"/>
        <v>364.64880697785321</v>
      </c>
      <c r="P23" s="150">
        <f t="shared" ca="1" si="2"/>
        <v>390.58051775543333</v>
      </c>
      <c r="Q23" s="150">
        <f t="shared" ca="1" si="2"/>
        <v>415.55287916158187</v>
      </c>
      <c r="R23" s="150">
        <f ca="1">R17*R24</f>
        <v>438.63592834288977</v>
      </c>
    </row>
    <row r="24" spans="2:18" x14ac:dyDescent="0.3">
      <c r="B24" s="44" t="s">
        <v>280</v>
      </c>
      <c r="D24" s="149">
        <f>DCF!D61</f>
        <v>0.27801734080516693</v>
      </c>
      <c r="E24" s="149">
        <f>DCF!E61</f>
        <v>0.28232744855451131</v>
      </c>
      <c r="F24" s="149">
        <f>DCF!F61</f>
        <v>0.43768885951678055</v>
      </c>
      <c r="G24" s="149">
        <f>DCF!G61</f>
        <v>0.32359175113596644</v>
      </c>
      <c r="H24" s="149">
        <f>DCF!H61</f>
        <v>0.28058721206873688</v>
      </c>
      <c r="I24" s="149">
        <f>DCF!I61</f>
        <v>0.28124366876182338</v>
      </c>
      <c r="J24" s="149">
        <f>DCF!J61</f>
        <v>0.2688022586925703</v>
      </c>
      <c r="K24" s="149">
        <f>DCF!K61</f>
        <v>0.35853324138075948</v>
      </c>
      <c r="L24" s="149">
        <f>DCF!L61</f>
        <v>0.28750973808850799</v>
      </c>
      <c r="M24" s="149">
        <f>DCF!M61</f>
        <v>0.29558937873363256</v>
      </c>
      <c r="N24" s="149">
        <f>DCF!N61</f>
        <v>0.29833565713145871</v>
      </c>
      <c r="O24" s="149">
        <f>DCF!O61</f>
        <v>0.29833565713145871</v>
      </c>
      <c r="P24" s="149">
        <f>DCF!P61</f>
        <v>0.29833565713145871</v>
      </c>
      <c r="Q24" s="149">
        <f>DCF!Q61</f>
        <v>0.29833565713145871</v>
      </c>
      <c r="R24" s="149">
        <f>DCF!R61</f>
        <v>0.29833565713145871</v>
      </c>
    </row>
    <row r="25" spans="2:18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8" x14ac:dyDescent="0.3">
      <c r="B26" s="122" t="s">
        <v>247</v>
      </c>
      <c r="C26" s="123"/>
      <c r="D26" s="124">
        <f>D17-D23</f>
        <v>50.24277654000845</v>
      </c>
      <c r="E26" s="124">
        <f t="shared" ref="E26:R26" si="3">E17-E23</f>
        <v>59.591456329876308</v>
      </c>
      <c r="F26" s="124">
        <f t="shared" si="3"/>
        <v>60.797393465075736</v>
      </c>
      <c r="G26" s="124">
        <f t="shared" si="3"/>
        <v>124.45179510831106</v>
      </c>
      <c r="H26" s="124">
        <f t="shared" si="3"/>
        <v>183.20516062729209</v>
      </c>
      <c r="I26" s="124">
        <f t="shared" si="3"/>
        <v>304.26594609211827</v>
      </c>
      <c r="J26" s="124">
        <f t="shared" si="3"/>
        <v>449.03077470038033</v>
      </c>
      <c r="K26" s="124">
        <f t="shared" si="3"/>
        <v>507.30680970494478</v>
      </c>
      <c r="L26" s="124">
        <f t="shared" si="3"/>
        <v>744.02371627178195</v>
      </c>
      <c r="M26" s="124">
        <f>M17-M23</f>
        <v>832.9251363581069</v>
      </c>
      <c r="N26" s="124">
        <f t="shared" ca="1" si="3"/>
        <v>812.59256569495619</v>
      </c>
      <c r="O26" s="124">
        <f t="shared" ca="1" si="3"/>
        <v>857.62817621619479</v>
      </c>
      <c r="P26" s="124">
        <f t="shared" ca="1" si="3"/>
        <v>918.61772395299192</v>
      </c>
      <c r="Q26" s="124">
        <f t="shared" ca="1" si="3"/>
        <v>977.35094989185427</v>
      </c>
      <c r="R26" s="125">
        <f t="shared" ca="1" si="3"/>
        <v>1031.6406472446174</v>
      </c>
    </row>
    <row r="28" spans="2:18" x14ac:dyDescent="0.3">
      <c r="B28" s="2" t="s">
        <v>59</v>
      </c>
      <c r="D28" s="36">
        <f>DCF!D69</f>
        <v>14.299820518868266</v>
      </c>
      <c r="E28" s="36">
        <f>DCF!E69</f>
        <v>16.956170315800428</v>
      </c>
      <c r="F28" s="36">
        <f>DCF!F69</f>
        <v>23.598030353531904</v>
      </c>
      <c r="G28" s="36">
        <f>DCF!G69</f>
        <v>31.990849520378042</v>
      </c>
      <c r="H28" s="36">
        <f>DCF!H69</f>
        <v>46.302393671141822</v>
      </c>
      <c r="I28" s="36">
        <f>DCF!I69</f>
        <v>96.241710529526159</v>
      </c>
      <c r="J28" s="36">
        <f>DCF!J69</f>
        <v>99.547680873545545</v>
      </c>
      <c r="K28" s="36">
        <f>DCF!K69</f>
        <v>133.10687624156682</v>
      </c>
      <c r="L28" s="36">
        <f>DCF!L69</f>
        <v>179.45593094094434</v>
      </c>
      <c r="M28" s="36">
        <f>DCF!M69</f>
        <v>211.21444264247896</v>
      </c>
      <c r="N28" s="36">
        <f>DCF!N69</f>
        <v>205.69906499113878</v>
      </c>
      <c r="O28" s="36">
        <f>DCF!O69</f>
        <v>219.90365755301687</v>
      </c>
      <c r="P28" s="36">
        <f>DCF!P69</f>
        <v>233.30750102439691</v>
      </c>
      <c r="Q28" s="36">
        <f>DCF!Q69</f>
        <v>241.11709512897949</v>
      </c>
      <c r="R28" s="36">
        <f>DCF!R69</f>
        <v>262.10331786004105</v>
      </c>
    </row>
    <row r="29" spans="2:18" x14ac:dyDescent="0.3">
      <c r="B29" s="44" t="s">
        <v>13</v>
      </c>
      <c r="D29" s="153">
        <f>DCF!D70</f>
        <v>0</v>
      </c>
      <c r="E29" s="153">
        <f>DCF!E70</f>
        <v>0.18576105856903391</v>
      </c>
      <c r="F29" s="153">
        <f>DCF!F70</f>
        <v>0.39170755624826015</v>
      </c>
      <c r="G29" s="153">
        <f>DCF!G70</f>
        <v>0.35565761383936811</v>
      </c>
      <c r="H29" s="153">
        <f>DCF!H70</f>
        <v>0.4473636794686362</v>
      </c>
      <c r="I29" s="153">
        <f>DCF!I70</f>
        <v>1.0785471959197919</v>
      </c>
      <c r="J29" s="153">
        <f>DCF!J70</f>
        <v>3.4350702266509936E-2</v>
      </c>
      <c r="K29" s="153">
        <f>DCF!K70</f>
        <v>0.33711679743349521</v>
      </c>
      <c r="L29" s="153">
        <f>DCF!L70</f>
        <v>0.34820931876773753</v>
      </c>
      <c r="M29" s="153">
        <f>DCF!M70</f>
        <v>0.17697108997743727</v>
      </c>
      <c r="N29" s="153">
        <f>DCF!N70</f>
        <v>0.37285389027669663</v>
      </c>
      <c r="O29" s="153">
        <f>DCF!O70</f>
        <v>0.37285389027669663</v>
      </c>
      <c r="P29" s="153">
        <f>DCF!P70</f>
        <v>0.37285389027669663</v>
      </c>
      <c r="Q29" s="153">
        <f>DCF!Q70</f>
        <v>0.37285389027669663</v>
      </c>
      <c r="R29" s="153">
        <f>DCF!R70</f>
        <v>0.37285389027669663</v>
      </c>
    </row>
    <row r="31" spans="2:18" x14ac:dyDescent="0.3">
      <c r="B31" s="2" t="s">
        <v>60</v>
      </c>
      <c r="D31" s="152">
        <f>DCF!D86</f>
        <v>27.960676816031654</v>
      </c>
      <c r="E31" s="152">
        <f>DCF!E86</f>
        <v>28.907875754993192</v>
      </c>
      <c r="F31" s="152">
        <f>DCF!F86</f>
        <v>34.418436399777896</v>
      </c>
      <c r="G31" s="152">
        <f>DCF!G86</f>
        <v>58.977154221351398</v>
      </c>
      <c r="H31" s="152">
        <f>DCF!H86</f>
        <v>80.9334720151504</v>
      </c>
      <c r="I31" s="152">
        <f>DCF!I86</f>
        <v>118.94188172096507</v>
      </c>
      <c r="J31" s="152">
        <f>DCF!J86</f>
        <v>175.1592696001689</v>
      </c>
      <c r="K31" s="152">
        <f>DCF!K86</f>
        <v>291.33742390892911</v>
      </c>
      <c r="L31" s="152">
        <f>DCF!L86</f>
        <v>308.34468618291413</v>
      </c>
      <c r="M31" s="152">
        <f>DCF!M86</f>
        <v>326.01999608388587</v>
      </c>
      <c r="N31" s="152">
        <f>DCF!N86</f>
        <v>358.2132124659941</v>
      </c>
      <c r="O31" s="152">
        <f>DCF!O86</f>
        <v>381.63807121611916</v>
      </c>
      <c r="P31" s="152">
        <f>DCF!P86</f>
        <v>391.4125407692992</v>
      </c>
      <c r="Q31" s="152">
        <f>DCF!Q86</f>
        <v>406.93987030630512</v>
      </c>
      <c r="R31" s="152">
        <f>DCF!R86</f>
        <v>372.2661410352656</v>
      </c>
    </row>
    <row r="32" spans="2:18" x14ac:dyDescent="0.3">
      <c r="B32" s="44" t="s">
        <v>13</v>
      </c>
      <c r="D32" s="153">
        <f>DCF!D87</f>
        <v>0.19486557539032565</v>
      </c>
      <c r="E32" s="153">
        <f>DCF!E87</f>
        <v>0.19334949104074745</v>
      </c>
      <c r="F32" s="153">
        <f>DCF!F87</f>
        <v>0.21802587290185158</v>
      </c>
      <c r="G32" s="153">
        <f>DCF!G87</f>
        <v>0.26118390581935635</v>
      </c>
      <c r="H32" s="153">
        <f>DCF!H87</f>
        <v>0.28593550215917585</v>
      </c>
      <c r="I32" s="153">
        <f>DCF!I87</f>
        <v>0.51888477625123275</v>
      </c>
      <c r="J32" s="153">
        <f>DCF!J87</f>
        <v>0.44400096729590444</v>
      </c>
      <c r="K32" s="153">
        <f>DCF!K87</f>
        <v>0.45617197323278236</v>
      </c>
      <c r="L32" s="153">
        <f>DCF!L87</f>
        <v>0.47301923892663994</v>
      </c>
      <c r="M32" s="153">
        <f>DCF!M87</f>
        <v>0.47301923892663994</v>
      </c>
      <c r="N32" s="153">
        <f>DCF!N87</f>
        <v>0.47301923892663994</v>
      </c>
      <c r="O32" s="153">
        <f>DCF!O87</f>
        <v>0.47301923892663994</v>
      </c>
      <c r="P32" s="153">
        <f>DCF!P87</f>
        <v>0.47301923892663988</v>
      </c>
      <c r="Q32" s="153">
        <f>DCF!Q87</f>
        <v>0.47301923892663994</v>
      </c>
      <c r="R32" s="153">
        <f>DCF!R87</f>
        <v>0.47301923892663988</v>
      </c>
    </row>
    <row r="34" spans="2:18" x14ac:dyDescent="0.3">
      <c r="B34" s="2" t="s">
        <v>61</v>
      </c>
      <c r="D34" s="36">
        <f>DCF!D102</f>
        <v>11.641854070544225</v>
      </c>
      <c r="E34" s="36">
        <f>DCF!E102</f>
        <v>-0.11658974309757071</v>
      </c>
      <c r="F34" s="36">
        <f>DCF!F102</f>
        <v>-22.811611029974927</v>
      </c>
      <c r="G34" s="36">
        <f>DCF!G102</f>
        <v>-29.481133369359849</v>
      </c>
      <c r="H34" s="36">
        <f>DCF!H102</f>
        <v>55.491788839533413</v>
      </c>
      <c r="I34" s="36">
        <f>DCF!I102</f>
        <v>24.672452225969867</v>
      </c>
      <c r="J34" s="36">
        <f>DCF!J102</f>
        <v>-57.334288907887434</v>
      </c>
      <c r="K34" s="36">
        <f>DCF!K102</f>
        <v>272.33101864418524</v>
      </c>
      <c r="L34" s="36">
        <f>DCF!L102</f>
        <v>-94.236311836681978</v>
      </c>
      <c r="M34" s="36">
        <f>DCF!M102</f>
        <v>24.54733340409798</v>
      </c>
      <c r="N34" s="36">
        <f>DCF!N102</f>
        <v>102.30208081633546</v>
      </c>
      <c r="O34" s="36">
        <f>DCF!O102</f>
        <v>109.36657270545012</v>
      </c>
      <c r="P34" s="36">
        <f>DCF!P102</f>
        <v>116.03282117924702</v>
      </c>
      <c r="Q34" s="36">
        <f>DCF!Q102</f>
        <v>119.91683361879895</v>
      </c>
      <c r="R34" s="36">
        <f>DCF!R102</f>
        <v>130.35409182391118</v>
      </c>
    </row>
    <row r="35" spans="2:18" x14ac:dyDescent="0.3">
      <c r="B35" s="44" t="s">
        <v>13</v>
      </c>
      <c r="D35" s="153">
        <f>DCF!D103</f>
        <v>2.8994095188454583E-2</v>
      </c>
      <c r="E35" s="153">
        <f>DCF!E103</f>
        <v>-2.5720954516138939E-4</v>
      </c>
      <c r="F35" s="153">
        <f>DCF!F103</f>
        <v>-3.9494470177764376E-2</v>
      </c>
      <c r="G35" s="153">
        <f>DCF!G103</f>
        <v>-3.4326049267117943E-2</v>
      </c>
      <c r="H35" s="153">
        <f>DCF!H103</f>
        <v>4.8770184474841778E-2</v>
      </c>
      <c r="I35" s="153">
        <f>DCF!I103</f>
        <v>1.0801977973497226E-2</v>
      </c>
      <c r="J35" s="153">
        <f>DCF!J103</f>
        <v>-2.0639108962559157E-2</v>
      </c>
      <c r="K35" s="153">
        <f>DCF!K103</f>
        <v>7.3607135820424788E-2</v>
      </c>
      <c r="L35" s="153">
        <f>DCF!L103</f>
        <v>-2.0710805946142736E-2</v>
      </c>
      <c r="M35" s="153">
        <f>DCF!M103</f>
        <v>4.9012450361848739E-3</v>
      </c>
      <c r="N35" s="153">
        <f>DCF!N103</f>
        <v>1.9265858303488981E-2</v>
      </c>
      <c r="O35" s="153">
        <f>DCF!O103</f>
        <v>1.9265858303488984E-2</v>
      </c>
      <c r="P35" s="153">
        <f>DCF!P103</f>
        <v>1.9265858303488977E-2</v>
      </c>
      <c r="Q35" s="153">
        <f>DCF!Q103</f>
        <v>1.9265858303488977E-2</v>
      </c>
      <c r="R35" s="153">
        <f>DCF!R103</f>
        <v>1.9265858303488977E-2</v>
      </c>
    </row>
    <row r="37" spans="2:18" x14ac:dyDescent="0.3">
      <c r="B37" s="68" t="s">
        <v>113</v>
      </c>
      <c r="C37" s="69"/>
      <c r="D37" s="70">
        <f>D26+D28-D31-D34</f>
        <v>24.940066172300831</v>
      </c>
      <c r="E37" s="70">
        <f t="shared" ref="E37:R37" si="4">E26+E28-E31-E34</f>
        <v>47.756340633781107</v>
      </c>
      <c r="F37" s="70">
        <f t="shared" si="4"/>
        <v>72.788598448804663</v>
      </c>
      <c r="G37" s="70">
        <f t="shared" si="4"/>
        <v>126.94662377669755</v>
      </c>
      <c r="H37" s="70">
        <f t="shared" si="4"/>
        <v>93.082293443750117</v>
      </c>
      <c r="I37" s="70">
        <f t="shared" si="4"/>
        <v>256.89332267470945</v>
      </c>
      <c r="J37" s="70">
        <f t="shared" si="4"/>
        <v>430.75347488164442</v>
      </c>
      <c r="K37" s="70">
        <f t="shared" si="4"/>
        <v>76.745243393397232</v>
      </c>
      <c r="L37" s="70">
        <f t="shared" si="4"/>
        <v>709.37127286649411</v>
      </c>
      <c r="M37" s="70">
        <f t="shared" si="4"/>
        <v>693.57224951260196</v>
      </c>
      <c r="N37" s="70">
        <f t="shared" ca="1" si="4"/>
        <v>557.77633740376552</v>
      </c>
      <c r="O37" s="70">
        <f t="shared" ca="1" si="4"/>
        <v>586.52718984764238</v>
      </c>
      <c r="P37" s="70">
        <f t="shared" ca="1" si="4"/>
        <v>644.4798630288426</v>
      </c>
      <c r="Q37" s="70">
        <f t="shared" ca="1" si="4"/>
        <v>691.61134109572981</v>
      </c>
      <c r="R37" s="71">
        <f t="shared" ca="1" si="4"/>
        <v>791.12373224548162</v>
      </c>
    </row>
    <row r="38" spans="2:18" x14ac:dyDescent="0.3">
      <c r="B38" s="72" t="s">
        <v>114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73">
        <f ca="1">(N37*N40)/(1+D5)^N41</f>
        <v>23.201604199613886</v>
      </c>
      <c r="O38" s="73">
        <f ca="1">O37/(1+$D$5)^O41</f>
        <v>562.363833266283</v>
      </c>
      <c r="P38" s="73">
        <f ca="1">P37/(1+$D$5)^P41</f>
        <v>569.97881268858987</v>
      </c>
      <c r="Q38" s="73">
        <f t="shared" ref="Q38" ca="1" si="5">Q37/(1+$D$5)^Q41</f>
        <v>564.1980665481907</v>
      </c>
      <c r="R38" s="74">
        <f ca="1">R37/(1+$D$5)^R41</f>
        <v>595.29745683071144</v>
      </c>
    </row>
    <row r="40" spans="2:18" x14ac:dyDescent="0.3">
      <c r="B40" s="2" t="s">
        <v>134</v>
      </c>
      <c r="N40" s="66">
        <f ca="1">DCF!N144</f>
        <v>4.1666666666666664E-2</v>
      </c>
      <c r="O40" s="66"/>
      <c r="P40" s="66"/>
      <c r="Q40" s="66"/>
      <c r="R40" s="66"/>
    </row>
    <row r="41" spans="2:18" x14ac:dyDescent="0.3">
      <c r="B41" s="2" t="s">
        <v>135</v>
      </c>
      <c r="N41" s="66">
        <f ca="1">DCF!N145</f>
        <v>2.0833333333333332E-2</v>
      </c>
      <c r="O41" s="66">
        <f ca="1">DCF!O145</f>
        <v>0.52083333333333337</v>
      </c>
      <c r="P41" s="66">
        <f ca="1">DCF!P145</f>
        <v>1.5208333333333335</v>
      </c>
      <c r="Q41" s="66">
        <f ca="1">DCF!Q145</f>
        <v>2.5208333333333335</v>
      </c>
      <c r="R41" s="66">
        <f ca="1">DCF!R145</f>
        <v>3.5208333333333335</v>
      </c>
    </row>
    <row r="43" spans="2:18" x14ac:dyDescent="0.3">
      <c r="B43" s="2" t="s">
        <v>139</v>
      </c>
      <c r="R43" s="47">
        <f ca="1">(R37*(1+D6))/(D5-D6)</f>
        <v>13714.744156798324</v>
      </c>
    </row>
    <row r="44" spans="2:18" x14ac:dyDescent="0.3">
      <c r="B44" s="2" t="s">
        <v>140</v>
      </c>
      <c r="R44" s="47">
        <f ca="1">R43/(1+WACC)^R41</f>
        <v>10319.943625572523</v>
      </c>
    </row>
    <row r="46" spans="2:18" x14ac:dyDescent="0.3">
      <c r="B46" s="2" t="s">
        <v>141</v>
      </c>
      <c r="R46" s="47">
        <f ca="1">SUM(N38:R38)+R44</f>
        <v>12634.983399105911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F6F7-00F6-4C86-B33B-D3E2E285D69E}">
  <dimension ref="A2:R46"/>
  <sheetViews>
    <sheetView showGridLines="0" workbookViewId="0">
      <selection activeCell="B3" sqref="B3"/>
    </sheetView>
  </sheetViews>
  <sheetFormatPr defaultColWidth="9" defaultRowHeight="15.6" x14ac:dyDescent="0.3"/>
  <cols>
    <col min="1" max="1" width="3.59765625" style="2" customWidth="1"/>
    <col min="2" max="2" width="14.8984375" style="2" bestFit="1" customWidth="1"/>
    <col min="3" max="3" width="9" style="2"/>
    <col min="4" max="18" width="15.5" style="2" customWidth="1"/>
    <col min="19" max="16384" width="9" style="2"/>
  </cols>
  <sheetData>
    <row r="2" spans="1:18" s="1" customFormat="1" ht="21" x14ac:dyDescent="0.4">
      <c r="B2" s="141" t="s">
        <v>368</v>
      </c>
    </row>
    <row r="3" spans="1:18" ht="15.75" customHeight="1" x14ac:dyDescent="0.3"/>
    <row r="4" spans="1:18" x14ac:dyDescent="0.3">
      <c r="A4" s="2" t="s">
        <v>11</v>
      </c>
      <c r="B4" s="139" t="s">
        <v>0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5.75" customHeight="1" x14ac:dyDescent="0.3">
      <c r="B5" s="2" t="s">
        <v>5</v>
      </c>
      <c r="D5" s="61">
        <f>WACC</f>
        <v>8.4126281633890992E-2</v>
      </c>
    </row>
    <row r="6" spans="1:18" ht="15.75" customHeight="1" x14ac:dyDescent="0.3">
      <c r="B6" s="2" t="s">
        <v>6</v>
      </c>
      <c r="D6" s="61">
        <f>TGR</f>
        <v>2.5000000000000001E-2</v>
      </c>
    </row>
    <row r="7" spans="1:18" ht="15.75" customHeight="1" x14ac:dyDescent="0.3"/>
    <row r="8" spans="1:18" ht="15.75" customHeight="1" x14ac:dyDescent="0.3"/>
    <row r="9" spans="1:18" x14ac:dyDescent="0.3">
      <c r="A9" s="51" t="s">
        <v>11</v>
      </c>
      <c r="B9" s="139" t="s">
        <v>1</v>
      </c>
      <c r="C9" s="139"/>
      <c r="D9" s="139">
        <v>2015</v>
      </c>
      <c r="E9" s="139">
        <v>2016</v>
      </c>
      <c r="F9" s="139">
        <v>2017</v>
      </c>
      <c r="G9" s="139">
        <v>2018</v>
      </c>
      <c r="H9" s="139">
        <v>2019</v>
      </c>
      <c r="I9" s="139">
        <v>2020</v>
      </c>
      <c r="J9" s="139">
        <v>2021</v>
      </c>
      <c r="K9" s="139">
        <v>2022</v>
      </c>
      <c r="L9" s="139">
        <v>2023</v>
      </c>
      <c r="M9" s="139">
        <v>2024</v>
      </c>
      <c r="N9" s="139">
        <v>2025</v>
      </c>
      <c r="O9" s="139">
        <v>2026</v>
      </c>
      <c r="P9" s="139">
        <v>2027</v>
      </c>
      <c r="Q9" s="139">
        <v>2028</v>
      </c>
      <c r="R9" s="139">
        <v>2029</v>
      </c>
    </row>
    <row r="10" spans="1:18" ht="3.75" customHeight="1" x14ac:dyDescent="0.3"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</row>
    <row r="11" spans="1:18" x14ac:dyDescent="0.3">
      <c r="A11" s="2" t="s">
        <v>11</v>
      </c>
      <c r="B11" s="2" t="s">
        <v>3</v>
      </c>
      <c r="D11" s="36">
        <f>DCF!D31</f>
        <v>142.67500000000001</v>
      </c>
      <c r="E11" s="36">
        <f>DCF!E31</f>
        <v>186.74799999999999</v>
      </c>
      <c r="F11" s="36">
        <f>DCF!F31</f>
        <v>234.52600000000001</v>
      </c>
      <c r="G11" s="36">
        <f>DCF!G31</f>
        <v>303.10000000000002</v>
      </c>
      <c r="H11" s="36">
        <f>DCF!H31</f>
        <v>340.40699999999998</v>
      </c>
      <c r="I11" s="36">
        <f>DCF!I31</f>
        <v>459.00400000000002</v>
      </c>
      <c r="J11" s="36">
        <f>DCF!J31</f>
        <v>657.17600000000004</v>
      </c>
      <c r="K11" s="36">
        <f>DCF!K31</f>
        <v>762.6</v>
      </c>
      <c r="L11" s="36">
        <f>DCF!L31</f>
        <v>972.62947052866593</v>
      </c>
      <c r="M11" s="36">
        <f>DCF!M31</f>
        <v>1070.592136465003</v>
      </c>
      <c r="N11" s="36">
        <f ca="1">M11*(1+N12)</f>
        <v>1135.0689636229142</v>
      </c>
      <c r="O11" s="36">
        <f t="shared" ref="O11:Q11" ca="1" si="0">N11*(1+O12)</f>
        <v>1213.4513916548126</v>
      </c>
      <c r="P11" s="36">
        <f t="shared" ca="1" si="0"/>
        <v>1310.5275029871977</v>
      </c>
      <c r="Q11" s="36">
        <f t="shared" ca="1" si="0"/>
        <v>1411.8872665900383</v>
      </c>
      <c r="R11" s="36">
        <f ca="1">Q11*(1+R12)</f>
        <v>1496.6005025854406</v>
      </c>
    </row>
    <row r="12" spans="1:18" x14ac:dyDescent="0.3">
      <c r="B12" s="44" t="s">
        <v>12</v>
      </c>
      <c r="D12" s="36"/>
      <c r="E12" s="153">
        <f>DCF!E28</f>
        <v>0.1289135172156155</v>
      </c>
      <c r="F12" s="153">
        <f>DCF!F28</f>
        <v>0.27422582160970888</v>
      </c>
      <c r="G12" s="153">
        <f>DCF!G28</f>
        <v>0.4869648020221955</v>
      </c>
      <c r="H12" s="153">
        <f>DCF!H28</f>
        <v>0.3248111441266055</v>
      </c>
      <c r="I12" s="153">
        <f>DCF!I28</f>
        <v>1.0074036184921722</v>
      </c>
      <c r="J12" s="153">
        <f>DCF!J28</f>
        <v>0.21622648712735337</v>
      </c>
      <c r="K12" s="153">
        <f>DCF!K28</f>
        <v>0.33184506239146661</v>
      </c>
      <c r="L12" s="153">
        <f>DCF!L28</f>
        <v>0.22982718715294204</v>
      </c>
      <c r="M12" s="153">
        <f>DCF!M28</f>
        <v>0.1007194095024595</v>
      </c>
      <c r="N12" s="153">
        <f ca="1">OFFSET(N12,DCF!$D$11,0)</f>
        <v>6.0225388326508478E-2</v>
      </c>
      <c r="O12" s="153">
        <f ca="1">OFFSET(O12,DCF!$D$11,0)</f>
        <v>6.905521210069665E-2</v>
      </c>
      <c r="P12" s="153">
        <f ca="1">OFFSET(P12,DCF!$D$11,0)</f>
        <v>0.08</v>
      </c>
      <c r="Q12" s="153">
        <f ca="1">OFFSET(Q12,DCF!$D$11,0)</f>
        <v>7.7342721439880038E-2</v>
      </c>
      <c r="R12" s="153">
        <f ca="1">OFFSET(R12,DCF!$D$11,0)</f>
        <v>0.06</v>
      </c>
    </row>
    <row r="13" spans="1:18" x14ac:dyDescent="0.3">
      <c r="B13" s="2" t="s">
        <v>8</v>
      </c>
      <c r="N13" s="49">
        <f>DCF!N117</f>
        <v>6.0225388326508478E-2</v>
      </c>
      <c r="O13" s="49">
        <f>DCF!O117</f>
        <v>5.5244169680557322E-2</v>
      </c>
      <c r="P13" s="49">
        <f>DCF!P117</f>
        <v>6.4000000000000001E-2</v>
      </c>
      <c r="Q13" s="49">
        <f>DCF!Q117</f>
        <v>6.1874177151904033E-2</v>
      </c>
      <c r="R13" s="49">
        <f>DCF!R117</f>
        <v>4.8000000000000001E-2</v>
      </c>
    </row>
    <row r="14" spans="1:18" x14ac:dyDescent="0.3">
      <c r="B14" s="2" t="s">
        <v>9</v>
      </c>
      <c r="M14" s="126"/>
      <c r="N14" s="49">
        <f>DCF!N118</f>
        <v>6.0225388326508478E-2</v>
      </c>
      <c r="O14" s="49">
        <f>DCF!O118</f>
        <v>6.905521210069665E-2</v>
      </c>
      <c r="P14" s="49">
        <f>DCF!P118</f>
        <v>0.08</v>
      </c>
      <c r="Q14" s="49">
        <f>DCF!Q118</f>
        <v>7.7342721439880038E-2</v>
      </c>
      <c r="R14" s="49">
        <f>DCF!R118</f>
        <v>0.06</v>
      </c>
    </row>
    <row r="15" spans="1:18" x14ac:dyDescent="0.3">
      <c r="B15" s="2" t="s">
        <v>112</v>
      </c>
      <c r="N15" s="49">
        <f>DCF!N119</f>
        <v>6.0225388326508478E-2</v>
      </c>
      <c r="O15" s="49">
        <f>DCF!O119</f>
        <v>8.2866254520835972E-2</v>
      </c>
      <c r="P15" s="49">
        <f>DCF!P119</f>
        <v>9.6000000000000002E-2</v>
      </c>
      <c r="Q15" s="49">
        <f>DCF!Q119</f>
        <v>9.2811265727856043E-2</v>
      </c>
      <c r="R15" s="49">
        <f>DCF!R119</f>
        <v>7.1999999999999995E-2</v>
      </c>
    </row>
    <row r="17" spans="2:18" x14ac:dyDescent="0.3">
      <c r="B17" s="2" t="s">
        <v>4</v>
      </c>
      <c r="D17" s="36">
        <f>DCF!D51</f>
        <v>24.727610732809097</v>
      </c>
      <c r="E17" s="36">
        <f>DCF!E51</f>
        <v>34.208998365461063</v>
      </c>
      <c r="F17" s="36">
        <f>DCF!F51</f>
        <v>43.901524690838414</v>
      </c>
      <c r="G17" s="36">
        <f>DCF!G51</f>
        <v>64.931861324889709</v>
      </c>
      <c r="H17" s="36">
        <f>DCF!H51</f>
        <v>76.187496865274653</v>
      </c>
      <c r="I17" s="36">
        <f>DCF!I51</f>
        <v>85.070523594128787</v>
      </c>
      <c r="J17" s="36">
        <f>DCF!J51</f>
        <v>145.27787328391688</v>
      </c>
      <c r="K17" s="36">
        <f>DCF!K51</f>
        <v>163.01071246004264</v>
      </c>
      <c r="L17" s="36">
        <f>DCF!L51</f>
        <v>223.22045530192452</v>
      </c>
      <c r="M17" s="36">
        <f>DCF!M51</f>
        <v>252.75876005971932</v>
      </c>
      <c r="N17" s="36">
        <f ca="1">N11*N18</f>
        <v>247.55379069981478</v>
      </c>
      <c r="O17" s="36">
        <f t="shared" ref="O17:R17" ca="1" si="1">O11*O18</f>
        <v>261.27374898109474</v>
      </c>
      <c r="P17" s="36">
        <f t="shared" ca="1" si="1"/>
        <v>279.85402447549211</v>
      </c>
      <c r="Q17" s="36">
        <f t="shared" ca="1" si="1"/>
        <v>297.74691857151339</v>
      </c>
      <c r="R17" s="36">
        <f t="shared" ca="1" si="1"/>
        <v>314.28610554294249</v>
      </c>
    </row>
    <row r="18" spans="2:18" x14ac:dyDescent="0.3">
      <c r="B18" s="44" t="s">
        <v>13</v>
      </c>
      <c r="C18" s="44"/>
      <c r="D18" s="153">
        <f>DCF!D48</f>
        <v>0.17331425079943297</v>
      </c>
      <c r="E18" s="153">
        <f>DCF!E48</f>
        <v>0.18318267593474127</v>
      </c>
      <c r="F18" s="153">
        <f>DCF!F48</f>
        <v>0.18719257008109297</v>
      </c>
      <c r="G18" s="153">
        <f>DCF!G48</f>
        <v>0.214225870421939</v>
      </c>
      <c r="H18" s="153">
        <f>DCF!H48</f>
        <v>0.22381295585952893</v>
      </c>
      <c r="I18" s="153">
        <f>DCF!I48</f>
        <v>0.18533721622061849</v>
      </c>
      <c r="J18" s="153">
        <f>DCF!J48</f>
        <v>0.2210638752539911</v>
      </c>
      <c r="K18" s="153">
        <f>DCF!K48</f>
        <v>0.21375650729090298</v>
      </c>
      <c r="L18" s="153">
        <f>DCF!L48</f>
        <v>0.22950204786679412</v>
      </c>
      <c r="M18" s="153">
        <f>DCF!M48</f>
        <v>0.23609248699911578</v>
      </c>
      <c r="N18" s="153">
        <f ca="1">OFFSET(N18,DCF!$D$11,0)</f>
        <v>0.21809581499759481</v>
      </c>
      <c r="O18" s="153">
        <f ca="1">OFFSET(O18,DCF!$D$11,0)</f>
        <v>0.21531455712023992</v>
      </c>
      <c r="P18" s="153">
        <f ca="1">OFFSET(P18,DCF!$D$11,0)</f>
        <v>0.21354303808015995</v>
      </c>
      <c r="Q18" s="153">
        <f ca="1">OFFSET(Q18,DCF!$D$11,0)</f>
        <v>0.21088575952003999</v>
      </c>
      <c r="R18" s="153">
        <f ca="1">OFFSET(R18,DCF!$D$11,0)</f>
        <v>0.21</v>
      </c>
    </row>
    <row r="19" spans="2:18" x14ac:dyDescent="0.3">
      <c r="B19" s="2" t="s">
        <v>8</v>
      </c>
      <c r="N19" s="49">
        <f>DCF!N123</f>
        <v>0.21809581499759481</v>
      </c>
      <c r="O19" s="49">
        <f>DCF!O123</f>
        <v>0.19628623349783533</v>
      </c>
      <c r="P19" s="49">
        <f>DCF!P123</f>
        <v>0.17665761014805181</v>
      </c>
      <c r="Q19" s="49">
        <f>DCF!Q123</f>
        <v>0.15899184913324663</v>
      </c>
      <c r="R19" s="49">
        <f>DCF!R123</f>
        <v>0.14309266421992198</v>
      </c>
    </row>
    <row r="20" spans="2:18" x14ac:dyDescent="0.3">
      <c r="B20" s="2" t="s">
        <v>9</v>
      </c>
      <c r="J20" s="56"/>
      <c r="N20" s="49">
        <f>DCF!N124</f>
        <v>0.21809581499759481</v>
      </c>
      <c r="O20" s="49">
        <f>DCF!O124</f>
        <v>0.21531455712023992</v>
      </c>
      <c r="P20" s="49">
        <f>DCF!P124</f>
        <v>0.21354303808015995</v>
      </c>
      <c r="Q20" s="49">
        <f>DCF!Q124</f>
        <v>0.21088575952003999</v>
      </c>
      <c r="R20" s="49">
        <f>DCF!R124</f>
        <v>0.21</v>
      </c>
    </row>
    <row r="21" spans="2:18" x14ac:dyDescent="0.3">
      <c r="B21" s="2" t="s">
        <v>112</v>
      </c>
      <c r="I21" s="56"/>
      <c r="K21" s="56"/>
      <c r="N21" s="49">
        <f>DCF!N125</f>
        <v>0.21809581499759481</v>
      </c>
      <c r="O21" s="49">
        <f>DCF!O125</f>
        <v>0.23684601283226392</v>
      </c>
      <c r="P21" s="49">
        <f>DCF!P125</f>
        <v>0.23489734188817596</v>
      </c>
      <c r="Q21" s="49">
        <f>DCF!Q125</f>
        <v>0.23197433547204402</v>
      </c>
      <c r="R21" s="49">
        <f>DCF!R125</f>
        <v>0.23100000000000001</v>
      </c>
    </row>
    <row r="23" spans="2:18" x14ac:dyDescent="0.3">
      <c r="B23" s="2" t="s">
        <v>14</v>
      </c>
      <c r="D23" s="150">
        <f>D17*D24</f>
        <v>6.8747045804008904</v>
      </c>
      <c r="E23" s="150">
        <f t="shared" ref="E23:Q23" si="2">E17*E24</f>
        <v>9.6581392261260692</v>
      </c>
      <c r="F23" s="150">
        <f t="shared" si="2"/>
        <v>19.215208272980846</v>
      </c>
      <c r="G23" s="150">
        <f t="shared" si="2"/>
        <v>21.011414710638796</v>
      </c>
      <c r="H23" s="150">
        <f t="shared" si="2"/>
        <v>21.377237339923045</v>
      </c>
      <c r="I23" s="150">
        <f t="shared" si="2"/>
        <v>23.925546159102037</v>
      </c>
      <c r="J23" s="150">
        <f t="shared" si="2"/>
        <v>39.051020476769871</v>
      </c>
      <c r="K23" s="150">
        <f t="shared" si="2"/>
        <v>58.444759118086047</v>
      </c>
      <c r="L23" s="150">
        <f t="shared" si="2"/>
        <v>64.178054639853826</v>
      </c>
      <c r="M23" s="150">
        <f>M17*M24</f>
        <v>74.712804855535737</v>
      </c>
      <c r="N23" s="150">
        <f ca="1">N17*N24</f>
        <v>73.85412282381283</v>
      </c>
      <c r="O23" s="150">
        <f t="shared" ca="1" si="2"/>
        <v>77.947275593474686</v>
      </c>
      <c r="P23" s="150">
        <f t="shared" ca="1" si="2"/>
        <v>83.49043429277927</v>
      </c>
      <c r="Q23" s="150">
        <f t="shared" ca="1" si="2"/>
        <v>88.82852261089937</v>
      </c>
      <c r="R23" s="150">
        <f ca="1">R17*R24</f>
        <v>93.762751824440741</v>
      </c>
    </row>
    <row r="24" spans="2:18" x14ac:dyDescent="0.3">
      <c r="B24" s="44" t="s">
        <v>280</v>
      </c>
      <c r="D24" s="149">
        <f>DCF!D61</f>
        <v>0.27801734080516693</v>
      </c>
      <c r="E24" s="149">
        <f>DCF!E61</f>
        <v>0.28232744855451131</v>
      </c>
      <c r="F24" s="149">
        <f>DCF!F61</f>
        <v>0.43768885951678055</v>
      </c>
      <c r="G24" s="149">
        <f>DCF!G61</f>
        <v>0.32359175113596644</v>
      </c>
      <c r="H24" s="149">
        <f>DCF!H61</f>
        <v>0.28058721206873688</v>
      </c>
      <c r="I24" s="149">
        <f>DCF!I61</f>
        <v>0.28124366876182338</v>
      </c>
      <c r="J24" s="149">
        <f>DCF!J61</f>
        <v>0.2688022586925703</v>
      </c>
      <c r="K24" s="149">
        <f>DCF!K61</f>
        <v>0.35853324138075948</v>
      </c>
      <c r="L24" s="149">
        <f>DCF!L61</f>
        <v>0.28750973808850799</v>
      </c>
      <c r="M24" s="149">
        <f>DCF!M61</f>
        <v>0.29558937873363256</v>
      </c>
      <c r="N24" s="149">
        <f>DCF!N61</f>
        <v>0.29833565713145871</v>
      </c>
      <c r="O24" s="149">
        <f>DCF!O61</f>
        <v>0.29833565713145871</v>
      </c>
      <c r="P24" s="149">
        <f>DCF!P61</f>
        <v>0.29833565713145871</v>
      </c>
      <c r="Q24" s="149">
        <f>DCF!Q61</f>
        <v>0.29833565713145871</v>
      </c>
      <c r="R24" s="149">
        <f>DCF!R61</f>
        <v>0.29833565713145871</v>
      </c>
    </row>
    <row r="25" spans="2:18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8" x14ac:dyDescent="0.3">
      <c r="B26" s="122" t="s">
        <v>247</v>
      </c>
      <c r="C26" s="123"/>
      <c r="D26" s="124">
        <f>D17-D23</f>
        <v>17.852906152408206</v>
      </c>
      <c r="E26" s="124">
        <f t="shared" ref="E26:R26" si="3">E17-E23</f>
        <v>24.550859139334996</v>
      </c>
      <c r="F26" s="124">
        <f t="shared" si="3"/>
        <v>24.686316417857569</v>
      </c>
      <c r="G26" s="124">
        <f t="shared" si="3"/>
        <v>43.920446614250913</v>
      </c>
      <c r="H26" s="124">
        <f t="shared" si="3"/>
        <v>54.810259525351611</v>
      </c>
      <c r="I26" s="124">
        <f t="shared" si="3"/>
        <v>61.144977435026746</v>
      </c>
      <c r="J26" s="124">
        <f t="shared" si="3"/>
        <v>106.226852807147</v>
      </c>
      <c r="K26" s="124">
        <f t="shared" si="3"/>
        <v>104.5659533419566</v>
      </c>
      <c r="L26" s="124">
        <f t="shared" si="3"/>
        <v>159.04240066207069</v>
      </c>
      <c r="M26" s="124">
        <f>M17-M23</f>
        <v>178.0459552041836</v>
      </c>
      <c r="N26" s="124">
        <f t="shared" ca="1" si="3"/>
        <v>173.69966787600197</v>
      </c>
      <c r="O26" s="124">
        <f t="shared" ca="1" si="3"/>
        <v>183.32647338762007</v>
      </c>
      <c r="P26" s="124">
        <f t="shared" ca="1" si="3"/>
        <v>196.36359018271284</v>
      </c>
      <c r="Q26" s="124">
        <f t="shared" ca="1" si="3"/>
        <v>208.91839596061402</v>
      </c>
      <c r="R26" s="125">
        <f t="shared" ca="1" si="3"/>
        <v>220.52335371850177</v>
      </c>
    </row>
    <row r="28" spans="2:18" x14ac:dyDescent="0.3">
      <c r="B28" s="2" t="s">
        <v>59</v>
      </c>
      <c r="D28" s="36">
        <f>DCF!D73</f>
        <v>5.0811951747202047</v>
      </c>
      <c r="E28" s="36">
        <f>DCF!E73</f>
        <v>6.9857085999269755</v>
      </c>
      <c r="F28" s="36">
        <f>DCF!F73</f>
        <v>9.5817996618577581</v>
      </c>
      <c r="G28" s="36">
        <f>DCF!G73</f>
        <v>11.28993275895678</v>
      </c>
      <c r="H28" s="36">
        <f>DCF!H73</f>
        <v>13.852482130256202</v>
      </c>
      <c r="I28" s="36">
        <f>DCF!I73</f>
        <v>19.340637012512161</v>
      </c>
      <c r="J28" s="36">
        <f>DCF!J73</f>
        <v>23.54991559432198</v>
      </c>
      <c r="K28" s="36">
        <f>DCF!K73</f>
        <v>27.435956199098506</v>
      </c>
      <c r="L28" s="36">
        <f>DCF!L73</f>
        <v>38.36047352483704</v>
      </c>
      <c r="M28" s="36">
        <f>DCF!M73</f>
        <v>45.149168336578064</v>
      </c>
      <c r="N28" s="36">
        <f>DCF!N73</f>
        <v>43.970202017301958</v>
      </c>
      <c r="O28" s="36">
        <f>DCF!O73</f>
        <v>47.006573643717225</v>
      </c>
      <c r="P28" s="36">
        <f>DCF!P73</f>
        <v>49.87177726178065</v>
      </c>
      <c r="Q28" s="36">
        <f>DCF!Q73</f>
        <v>51.54115495421896</v>
      </c>
      <c r="R28" s="36">
        <f>DCF!R73</f>
        <v>56.02716685273986</v>
      </c>
    </row>
    <row r="29" spans="2:18" x14ac:dyDescent="0.3">
      <c r="B29" s="44" t="s">
        <v>13</v>
      </c>
      <c r="D29" s="153">
        <f>DCF!D70</f>
        <v>0</v>
      </c>
      <c r="E29" s="153">
        <f>DCF!E70</f>
        <v>0.18576105856903391</v>
      </c>
      <c r="F29" s="153">
        <f>DCF!F70</f>
        <v>0.39170755624826015</v>
      </c>
      <c r="G29" s="153">
        <f>DCF!G70</f>
        <v>0.35565761383936811</v>
      </c>
      <c r="H29" s="153">
        <f>DCF!H70</f>
        <v>0.4473636794686362</v>
      </c>
      <c r="I29" s="153">
        <f>DCF!I70</f>
        <v>1.0785471959197919</v>
      </c>
      <c r="J29" s="153">
        <f>DCF!J70</f>
        <v>3.4350702266509936E-2</v>
      </c>
      <c r="K29" s="153">
        <f>DCF!K70</f>
        <v>0.33711679743349521</v>
      </c>
      <c r="L29" s="153">
        <f>DCF!L70</f>
        <v>0.34820931876773753</v>
      </c>
      <c r="M29" s="153">
        <f>DCF!M70</f>
        <v>0.17697108997743727</v>
      </c>
      <c r="N29" s="153">
        <f>DCF!N70</f>
        <v>0.37285389027669663</v>
      </c>
      <c r="O29" s="153">
        <f>DCF!O70</f>
        <v>0.37285389027669663</v>
      </c>
      <c r="P29" s="153">
        <f>DCF!P70</f>
        <v>0.37285389027669663</v>
      </c>
      <c r="Q29" s="153">
        <f>DCF!Q70</f>
        <v>0.37285389027669663</v>
      </c>
      <c r="R29" s="153">
        <f>DCF!R70</f>
        <v>0.37285389027669663</v>
      </c>
    </row>
    <row r="31" spans="2:18" x14ac:dyDescent="0.3">
      <c r="B31" s="2" t="s">
        <v>60</v>
      </c>
      <c r="D31" s="152">
        <f>DCF!D90</f>
        <v>9.9353454074523793</v>
      </c>
      <c r="E31" s="152">
        <f>DCF!E90</f>
        <v>11.909646606881443</v>
      </c>
      <c r="F31" s="152">
        <f>DCF!F90</f>
        <v>13.975342743285566</v>
      </c>
      <c r="G31" s="152">
        <f>DCF!G90</f>
        <v>20.813705026793325</v>
      </c>
      <c r="H31" s="152">
        <f>DCF!H90</f>
        <v>24.213207697039874</v>
      </c>
      <c r="I31" s="152">
        <f>DCF!I90</f>
        <v>23.902440504157433</v>
      </c>
      <c r="J31" s="152">
        <f>DCF!J90</f>
        <v>41.437288929784259</v>
      </c>
      <c r="K31" s="152">
        <f>DCF!K90</f>
        <v>60.050397298914824</v>
      </c>
      <c r="L31" s="152">
        <f>DCF!L90</f>
        <v>65.911714975507394</v>
      </c>
      <c r="M31" s="152">
        <f>DCF!M90</f>
        <v>69.689986632199776</v>
      </c>
      <c r="N31" s="152">
        <f>DCF!N90</f>
        <v>76.571603852817645</v>
      </c>
      <c r="O31" s="152">
        <f>DCF!O90</f>
        <v>81.578898229747026</v>
      </c>
      <c r="P31" s="152">
        <f>DCF!P90</f>
        <v>83.668287410411551</v>
      </c>
      <c r="Q31" s="152">
        <f>DCF!Q90</f>
        <v>86.987407098975908</v>
      </c>
      <c r="R31" s="152">
        <f>DCF!R90</f>
        <v>79.575555806377579</v>
      </c>
    </row>
    <row r="32" spans="2:18" x14ac:dyDescent="0.3">
      <c r="B32" s="44" t="s">
        <v>13</v>
      </c>
      <c r="D32" s="153">
        <f>DCF!D87</f>
        <v>0.19486557539032565</v>
      </c>
      <c r="E32" s="153">
        <f>DCF!E87</f>
        <v>0.19334949104074745</v>
      </c>
      <c r="F32" s="153">
        <f>DCF!F87</f>
        <v>0.21802587290185158</v>
      </c>
      <c r="G32" s="153">
        <f>DCF!G87</f>
        <v>0.26118390581935635</v>
      </c>
      <c r="H32" s="153">
        <f>DCF!H87</f>
        <v>0.28593550215917585</v>
      </c>
      <c r="I32" s="153">
        <f>DCF!I87</f>
        <v>0.51888477625123275</v>
      </c>
      <c r="J32" s="153">
        <f>DCF!J87</f>
        <v>0.44400096729590444</v>
      </c>
      <c r="K32" s="153">
        <f>DCF!K87</f>
        <v>0.45617197323278236</v>
      </c>
      <c r="L32" s="153">
        <f>DCF!L87</f>
        <v>0.47301923892663994</v>
      </c>
      <c r="M32" s="153">
        <f>DCF!M87</f>
        <v>0.47301923892663994</v>
      </c>
      <c r="N32" s="153">
        <f>DCF!N87</f>
        <v>0.47301923892663994</v>
      </c>
      <c r="O32" s="153">
        <f>DCF!O87</f>
        <v>0.47301923892663994</v>
      </c>
      <c r="P32" s="153">
        <f>DCF!P87</f>
        <v>0.47301923892663988</v>
      </c>
      <c r="Q32" s="153">
        <f>DCF!Q87</f>
        <v>0.47301923892663994</v>
      </c>
      <c r="R32" s="153">
        <f>DCF!R87</f>
        <v>0.47301923892663988</v>
      </c>
    </row>
    <row r="34" spans="2:18" x14ac:dyDescent="0.3">
      <c r="B34" s="2" t="s">
        <v>61</v>
      </c>
      <c r="D34" s="36">
        <f>DCF!D106</f>
        <v>4.1367325310127576</v>
      </c>
      <c r="E34" s="36">
        <f>DCF!E106</f>
        <v>-4.8033368139799137E-2</v>
      </c>
      <c r="F34" s="36">
        <f>DCF!F106</f>
        <v>-9.2624801129103673</v>
      </c>
      <c r="G34" s="36">
        <f>DCF!G106</f>
        <v>-10.404225532863448</v>
      </c>
      <c r="H34" s="36">
        <f>DCF!H106</f>
        <v>16.601712186527465</v>
      </c>
      <c r="I34" s="36">
        <f>DCF!I106</f>
        <v>4.9581510977471215</v>
      </c>
      <c r="J34" s="36">
        <f>DCF!J106</f>
        <v>-13.563527071578781</v>
      </c>
      <c r="K34" s="36">
        <f>DCF!K106</f>
        <v>56.132801776655946</v>
      </c>
      <c r="L34" s="36">
        <f>DCF!L106</f>
        <v>-20.143940221618756</v>
      </c>
      <c r="M34" s="36">
        <f>DCF!M106</f>
        <v>5.2472343946276547</v>
      </c>
      <c r="N34" s="36">
        <f>DCF!N106</f>
        <v>21.868077817847148</v>
      </c>
      <c r="O34" s="36">
        <f>DCF!O106</f>
        <v>23.378182569793125</v>
      </c>
      <c r="P34" s="36">
        <f>DCF!P106</f>
        <v>24.803158867585278</v>
      </c>
      <c r="Q34" s="36">
        <f>DCF!Q106</f>
        <v>25.633404798028227</v>
      </c>
      <c r="R34" s="36">
        <f>DCF!R106</f>
        <v>27.864471583894737</v>
      </c>
    </row>
    <row r="35" spans="2:18" x14ac:dyDescent="0.3">
      <c r="B35" s="44" t="s">
        <v>13</v>
      </c>
      <c r="D35" s="153">
        <f>DCF!D103</f>
        <v>2.8994095188454583E-2</v>
      </c>
      <c r="E35" s="153">
        <f>DCF!E103</f>
        <v>-2.5720954516138939E-4</v>
      </c>
      <c r="F35" s="153">
        <f>DCF!F103</f>
        <v>-3.9494470177764376E-2</v>
      </c>
      <c r="G35" s="153">
        <f>DCF!G103</f>
        <v>-3.4326049267117943E-2</v>
      </c>
      <c r="H35" s="153">
        <f>DCF!H103</f>
        <v>4.8770184474841778E-2</v>
      </c>
      <c r="I35" s="153">
        <f>DCF!I103</f>
        <v>1.0801977973497226E-2</v>
      </c>
      <c r="J35" s="153">
        <f>DCF!J103</f>
        <v>-2.0639108962559157E-2</v>
      </c>
      <c r="K35" s="153">
        <f>DCF!K103</f>
        <v>7.3607135820424788E-2</v>
      </c>
      <c r="L35" s="153">
        <f>DCF!L103</f>
        <v>-2.0710805946142736E-2</v>
      </c>
      <c r="M35" s="153">
        <f>DCF!M103</f>
        <v>4.9012450361848739E-3</v>
      </c>
      <c r="N35" s="153">
        <f>DCF!N103</f>
        <v>1.9265858303488981E-2</v>
      </c>
      <c r="O35" s="153">
        <f>DCF!O103</f>
        <v>1.9265858303488984E-2</v>
      </c>
      <c r="P35" s="153">
        <f>DCF!P103</f>
        <v>1.9265858303488977E-2</v>
      </c>
      <c r="Q35" s="153">
        <f>DCF!Q103</f>
        <v>1.9265858303488977E-2</v>
      </c>
      <c r="R35" s="153">
        <f>DCF!R103</f>
        <v>1.9265858303488977E-2</v>
      </c>
    </row>
    <row r="37" spans="2:18" x14ac:dyDescent="0.3">
      <c r="B37" s="68" t="s">
        <v>113</v>
      </c>
      <c r="C37" s="69"/>
      <c r="D37" s="70">
        <f>D26+D28-D31-D34</f>
        <v>8.8620233886632729</v>
      </c>
      <c r="E37" s="70">
        <f t="shared" ref="E37:R37" si="4">E26+E28-E31-E34</f>
        <v>19.674954500520329</v>
      </c>
      <c r="F37" s="70">
        <f t="shared" si="4"/>
        <v>29.555253449340128</v>
      </c>
      <c r="G37" s="70">
        <f t="shared" si="4"/>
        <v>44.800899879277821</v>
      </c>
      <c r="H37" s="70">
        <f t="shared" si="4"/>
        <v>27.847821772040476</v>
      </c>
      <c r="I37" s="70">
        <f t="shared" si="4"/>
        <v>51.625022845634355</v>
      </c>
      <c r="J37" s="70">
        <f t="shared" si="4"/>
        <v>101.9030065432635</v>
      </c>
      <c r="K37" s="70">
        <f t="shared" si="4"/>
        <v>15.818710465484351</v>
      </c>
      <c r="L37" s="70">
        <f t="shared" si="4"/>
        <v>151.63509943301906</v>
      </c>
      <c r="M37" s="70">
        <f t="shared" si="4"/>
        <v>148.25790251393423</v>
      </c>
      <c r="N37" s="70">
        <f t="shared" ca="1" si="4"/>
        <v>119.23018822263914</v>
      </c>
      <c r="O37" s="70">
        <f t="shared" ca="1" si="4"/>
        <v>125.37596623179712</v>
      </c>
      <c r="P37" s="70">
        <f t="shared" ca="1" si="4"/>
        <v>137.76392116649666</v>
      </c>
      <c r="Q37" s="70">
        <f t="shared" ca="1" si="4"/>
        <v>147.83873901782883</v>
      </c>
      <c r="R37" s="71">
        <f t="shared" ca="1" si="4"/>
        <v>169.11049318096934</v>
      </c>
    </row>
    <row r="38" spans="2:18" x14ac:dyDescent="0.3">
      <c r="B38" s="72" t="s">
        <v>114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73">
        <f ca="1">(N37*N40)/(1+D5)^N41</f>
        <v>4.9595715168975243</v>
      </c>
      <c r="O38" s="73">
        <f ca="1">O37/(1+$D$5)^O41</f>
        <v>120.21081066658225</v>
      </c>
      <c r="P38" s="73">
        <f ca="1">P37/(1+$D$5)^P41</f>
        <v>121.83858755302975</v>
      </c>
      <c r="Q38" s="73">
        <f t="shared" ref="Q38" ca="1" si="5">Q37/(1+$D$5)^Q41</f>
        <v>120.60289610438342</v>
      </c>
      <c r="R38" s="74">
        <f ca="1">R37/(1+$D$5)^R41</f>
        <v>127.25069721809422</v>
      </c>
    </row>
    <row r="40" spans="2:18" x14ac:dyDescent="0.3">
      <c r="B40" s="2" t="s">
        <v>134</v>
      </c>
      <c r="N40" s="66">
        <f ca="1">DCF!N144</f>
        <v>4.1666666666666664E-2</v>
      </c>
      <c r="O40" s="66"/>
      <c r="P40" s="66"/>
      <c r="Q40" s="66"/>
      <c r="R40" s="66"/>
    </row>
    <row r="41" spans="2:18" x14ac:dyDescent="0.3">
      <c r="B41" s="2" t="s">
        <v>135</v>
      </c>
      <c r="N41" s="66">
        <f ca="1">DCF!N145</f>
        <v>2.0833333333333332E-2</v>
      </c>
      <c r="O41" s="66">
        <f ca="1">DCF!O145</f>
        <v>0.52083333333333337</v>
      </c>
      <c r="P41" s="66">
        <f ca="1">DCF!P145</f>
        <v>1.5208333333333335</v>
      </c>
      <c r="Q41" s="66">
        <f ca="1">DCF!Q145</f>
        <v>2.5208333333333335</v>
      </c>
      <c r="R41" s="66">
        <f ca="1">DCF!R145</f>
        <v>3.5208333333333335</v>
      </c>
    </row>
    <row r="43" spans="2:18" x14ac:dyDescent="0.3">
      <c r="B43" s="2" t="s">
        <v>139</v>
      </c>
      <c r="R43" s="47">
        <f ca="1">(R37*(1+D6))/(D5-D6)</f>
        <v>2931.661703061277</v>
      </c>
    </row>
    <row r="44" spans="2:18" x14ac:dyDescent="0.3">
      <c r="B44" s="2" t="s">
        <v>140</v>
      </c>
      <c r="R44" s="47">
        <f ca="1">R43/(1+WACC)^R41</f>
        <v>2205.9896385194529</v>
      </c>
    </row>
    <row r="46" spans="2:18" x14ac:dyDescent="0.3">
      <c r="B46" s="2" t="s">
        <v>141</v>
      </c>
      <c r="R46" s="47">
        <f ca="1">SUM(N38:R38)+R44</f>
        <v>2700.8522015784401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171D-7FBD-4FA2-9EE8-B7917EE38840}">
  <dimension ref="B1:H21"/>
  <sheetViews>
    <sheetView showGridLines="0" zoomScale="160" zoomScaleNormal="160" workbookViewId="0">
      <selection activeCell="F21" sqref="F21"/>
    </sheetView>
  </sheetViews>
  <sheetFormatPr defaultColWidth="9" defaultRowHeight="15.6" x14ac:dyDescent="0.3"/>
  <cols>
    <col min="1" max="1" width="2.3984375" style="2" customWidth="1"/>
    <col min="2" max="2" width="18.8984375" style="2" bestFit="1" customWidth="1"/>
    <col min="3" max="5" width="9" style="2"/>
    <col min="6" max="6" width="11.59765625" style="2" customWidth="1"/>
    <col min="7" max="16384" width="9" style="2"/>
  </cols>
  <sheetData>
    <row r="1" spans="2:8" x14ac:dyDescent="0.3">
      <c r="B1" s="53" t="s">
        <v>126</v>
      </c>
    </row>
    <row r="2" spans="2:8" x14ac:dyDescent="0.3">
      <c r="B2" s="53" t="s">
        <v>5</v>
      </c>
    </row>
    <row r="3" spans="2:8" x14ac:dyDescent="0.3">
      <c r="B3" s="53" t="s">
        <v>127</v>
      </c>
      <c r="H3" s="53" t="s">
        <v>129</v>
      </c>
    </row>
    <row r="4" spans="2:8" x14ac:dyDescent="0.3">
      <c r="B4" s="53" t="s">
        <v>128</v>
      </c>
      <c r="H4" s="53" t="s">
        <v>130</v>
      </c>
    </row>
    <row r="6" spans="2:8" x14ac:dyDescent="0.3">
      <c r="B6" s="58" t="s">
        <v>5</v>
      </c>
      <c r="C6" s="59"/>
      <c r="D6" s="59"/>
      <c r="E6" s="59"/>
      <c r="F6" s="59"/>
      <c r="H6" s="53" t="s">
        <v>131</v>
      </c>
    </row>
    <row r="7" spans="2:8" x14ac:dyDescent="0.3">
      <c r="B7" s="2" t="s">
        <v>115</v>
      </c>
      <c r="F7" s="47">
        <v>27098.240000000002</v>
      </c>
      <c r="H7" s="53" t="s">
        <v>132</v>
      </c>
    </row>
    <row r="8" spans="2:8" x14ac:dyDescent="0.3">
      <c r="B8" s="2" t="s">
        <v>116</v>
      </c>
      <c r="F8" s="56">
        <f>F7/(F7+F14)</f>
        <v>0.94504436765799316</v>
      </c>
    </row>
    <row r="9" spans="2:8" x14ac:dyDescent="0.3">
      <c r="B9" s="2" t="s">
        <v>117</v>
      </c>
      <c r="F9" s="61">
        <f>F10+(F11*F12)</f>
        <v>8.6775999999999992E-2</v>
      </c>
      <c r="H9" s="53" t="s">
        <v>118</v>
      </c>
    </row>
    <row r="10" spans="2:8" x14ac:dyDescent="0.3">
      <c r="B10" s="2" t="s">
        <v>118</v>
      </c>
      <c r="F10" s="60">
        <v>4.3830000000000001E-2</v>
      </c>
      <c r="H10" s="53" t="s">
        <v>133</v>
      </c>
    </row>
    <row r="11" spans="2:8" x14ac:dyDescent="0.3">
      <c r="B11" s="2" t="s">
        <v>119</v>
      </c>
      <c r="F11" s="6">
        <v>1.0900000000000001</v>
      </c>
    </row>
    <row r="12" spans="2:8" x14ac:dyDescent="0.3">
      <c r="B12" s="2" t="s">
        <v>120</v>
      </c>
      <c r="F12" s="60">
        <v>3.9399999999999998E-2</v>
      </c>
    </row>
    <row r="14" spans="2:8" x14ac:dyDescent="0.3">
      <c r="B14" s="2" t="s">
        <v>121</v>
      </c>
      <c r="F14" s="75">
        <f>275.2+1300.6</f>
        <v>1575.8</v>
      </c>
    </row>
    <row r="15" spans="2:8" x14ac:dyDescent="0.3">
      <c r="B15" s="2" t="s">
        <v>122</v>
      </c>
      <c r="F15" s="56">
        <f>F14/(F7+F14)</f>
        <v>5.4955632342006913E-2</v>
      </c>
    </row>
    <row r="16" spans="2:8" x14ac:dyDescent="0.3">
      <c r="B16" s="2" t="s">
        <v>123</v>
      </c>
      <c r="F16" s="60">
        <f>(F14/F19)</f>
        <v>5.4955632342006913E-2</v>
      </c>
    </row>
    <row r="17" spans="2:6" x14ac:dyDescent="0.3">
      <c r="B17" s="2" t="s">
        <v>124</v>
      </c>
      <c r="F17" s="49">
        <f>DCF!L19</f>
        <v>0.29833565713145871</v>
      </c>
    </row>
    <row r="19" spans="2:6" x14ac:dyDescent="0.3">
      <c r="B19" s="2" t="s">
        <v>125</v>
      </c>
      <c r="F19" s="47">
        <f>F7+F14</f>
        <v>28674.04</v>
      </c>
    </row>
    <row r="21" spans="2:6" x14ac:dyDescent="0.3">
      <c r="B21" s="2" t="s">
        <v>5</v>
      </c>
      <c r="F21" s="61">
        <f>F8*F9+(F15*F16*(1-F17))</f>
        <v>8.4126281633890992E-2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BBED-2535-4A7D-8A25-CA2CA51A138F}">
  <dimension ref="A2:E30"/>
  <sheetViews>
    <sheetView showGridLines="0" workbookViewId="0">
      <selection activeCell="E14" sqref="E14"/>
    </sheetView>
  </sheetViews>
  <sheetFormatPr defaultColWidth="9" defaultRowHeight="15.6" x14ac:dyDescent="0.3"/>
  <cols>
    <col min="1" max="1" width="2.69921875" style="2" customWidth="1"/>
    <col min="2" max="2" width="55.19921875" style="2" bestFit="1" customWidth="1"/>
    <col min="3" max="4" width="13.3984375" style="2" customWidth="1"/>
    <col min="5" max="5" width="12.5" style="2" bestFit="1" customWidth="1"/>
    <col min="6" max="16384" width="9" style="2"/>
  </cols>
  <sheetData>
    <row r="2" spans="1:5" s="1" customFormat="1" ht="31.2" x14ac:dyDescent="0.6">
      <c r="B2" s="118" t="s">
        <v>248</v>
      </c>
      <c r="C2" s="118"/>
      <c r="D2" s="118"/>
    </row>
    <row r="4" spans="1:5" x14ac:dyDescent="0.3">
      <c r="A4" s="2" t="s">
        <v>11</v>
      </c>
      <c r="B4" s="127" t="s">
        <v>249</v>
      </c>
      <c r="C4" s="128"/>
      <c r="D4" s="128"/>
      <c r="E4" s="128"/>
    </row>
    <row r="5" spans="1:5" ht="4.5" customHeight="1" x14ac:dyDescent="0.3"/>
    <row r="6" spans="1:5" x14ac:dyDescent="0.3">
      <c r="B6" s="2" t="s">
        <v>271</v>
      </c>
      <c r="E6" s="6">
        <f>DCF!I4</f>
        <v>205.57</v>
      </c>
    </row>
    <row r="7" spans="1:5" x14ac:dyDescent="0.3">
      <c r="B7" s="2" t="s">
        <v>250</v>
      </c>
      <c r="E7" s="6">
        <v>115.521231</v>
      </c>
    </row>
    <row r="8" spans="1:5" x14ac:dyDescent="0.3">
      <c r="B8" s="2" t="s">
        <v>251</v>
      </c>
      <c r="E8" s="2">
        <f>E30</f>
        <v>0</v>
      </c>
    </row>
    <row r="9" spans="1:5" x14ac:dyDescent="0.3">
      <c r="B9" s="2" t="s">
        <v>252</v>
      </c>
      <c r="E9" s="2">
        <f>SUMPRODUCT(D19:D28,E19:E28)</f>
        <v>0</v>
      </c>
    </row>
    <row r="10" spans="1:5" x14ac:dyDescent="0.3">
      <c r="B10" s="2" t="s">
        <v>253</v>
      </c>
      <c r="E10" s="2">
        <f>E9/E6</f>
        <v>0</v>
      </c>
    </row>
    <row r="11" spans="1:5" x14ac:dyDescent="0.3">
      <c r="B11" s="2" t="s">
        <v>254</v>
      </c>
      <c r="E11" s="2">
        <f>E8-E10</f>
        <v>0</v>
      </c>
    </row>
    <row r="12" spans="1:5" x14ac:dyDescent="0.3">
      <c r="B12" s="2" t="s">
        <v>255</v>
      </c>
      <c r="E12" s="6">
        <v>0.84899999999999998</v>
      </c>
    </row>
    <row r="14" spans="1:5" x14ac:dyDescent="0.3">
      <c r="B14" s="53" t="s">
        <v>257</v>
      </c>
      <c r="C14" s="53"/>
      <c r="D14" s="53"/>
      <c r="E14" s="53">
        <f>E7+E11+E12</f>
        <v>116.370231</v>
      </c>
    </row>
    <row r="16" spans="1:5" x14ac:dyDescent="0.3">
      <c r="A16" s="2" t="s">
        <v>11</v>
      </c>
      <c r="B16" s="127" t="s">
        <v>256</v>
      </c>
      <c r="C16" s="128"/>
      <c r="D16" s="128"/>
      <c r="E16" s="128"/>
    </row>
    <row r="17" spans="2:5" ht="3.75" customHeight="1" x14ac:dyDescent="0.3"/>
    <row r="18" spans="2:5" x14ac:dyDescent="0.3">
      <c r="C18" s="5" t="s">
        <v>268</v>
      </c>
      <c r="D18" s="5" t="s">
        <v>269</v>
      </c>
      <c r="E18" s="5" t="s">
        <v>270</v>
      </c>
    </row>
    <row r="19" spans="2:5" x14ac:dyDescent="0.3">
      <c r="B19" s="2" t="s">
        <v>258</v>
      </c>
      <c r="C19" s="6"/>
      <c r="D19" s="6"/>
      <c r="E19" s="2">
        <f>IF(D19&lt;$E$6,C19)</f>
        <v>0</v>
      </c>
    </row>
    <row r="20" spans="2:5" x14ac:dyDescent="0.3">
      <c r="B20" s="2" t="s">
        <v>259</v>
      </c>
      <c r="C20" s="6"/>
      <c r="D20" s="6"/>
      <c r="E20" s="2">
        <f t="shared" ref="E20:E27" si="0">IF(D20&lt;$E$6,C20)</f>
        <v>0</v>
      </c>
    </row>
    <row r="21" spans="2:5" x14ac:dyDescent="0.3">
      <c r="B21" s="2" t="s">
        <v>260</v>
      </c>
      <c r="C21" s="6"/>
      <c r="D21" s="6"/>
      <c r="E21" s="2">
        <f t="shared" si="0"/>
        <v>0</v>
      </c>
    </row>
    <row r="22" spans="2:5" x14ac:dyDescent="0.3">
      <c r="B22" s="2" t="s">
        <v>261</v>
      </c>
      <c r="C22" s="6"/>
      <c r="D22" s="6"/>
      <c r="E22" s="2">
        <f t="shared" si="0"/>
        <v>0</v>
      </c>
    </row>
    <row r="23" spans="2:5" x14ac:dyDescent="0.3">
      <c r="B23" s="2" t="s">
        <v>262</v>
      </c>
      <c r="C23" s="6"/>
      <c r="D23" s="6"/>
      <c r="E23" s="2">
        <f t="shared" si="0"/>
        <v>0</v>
      </c>
    </row>
    <row r="24" spans="2:5" x14ac:dyDescent="0.3">
      <c r="B24" s="2" t="s">
        <v>263</v>
      </c>
      <c r="C24" s="6"/>
      <c r="D24" s="6"/>
      <c r="E24" s="2">
        <f t="shared" si="0"/>
        <v>0</v>
      </c>
    </row>
    <row r="25" spans="2:5" x14ac:dyDescent="0.3">
      <c r="B25" s="2" t="s">
        <v>264</v>
      </c>
      <c r="C25" s="6"/>
      <c r="D25" s="6"/>
      <c r="E25" s="2">
        <f t="shared" si="0"/>
        <v>0</v>
      </c>
    </row>
    <row r="26" spans="2:5" x14ac:dyDescent="0.3">
      <c r="B26" s="2" t="s">
        <v>265</v>
      </c>
      <c r="C26" s="6"/>
      <c r="D26" s="6"/>
      <c r="E26" s="2">
        <f t="shared" si="0"/>
        <v>0</v>
      </c>
    </row>
    <row r="27" spans="2:5" x14ac:dyDescent="0.3">
      <c r="B27" s="2" t="s">
        <v>266</v>
      </c>
      <c r="C27" s="6"/>
      <c r="D27" s="6"/>
      <c r="E27" s="2">
        <f t="shared" si="0"/>
        <v>0</v>
      </c>
    </row>
    <row r="28" spans="2:5" x14ac:dyDescent="0.3">
      <c r="B28" s="2" t="s">
        <v>267</v>
      </c>
      <c r="C28" s="6"/>
      <c r="D28" s="6"/>
      <c r="E28" s="2">
        <f>IF(D28&lt;$E$6,C28)</f>
        <v>0</v>
      </c>
    </row>
    <row r="29" spans="2:5" ht="3" customHeight="1" x14ac:dyDescent="0.3"/>
    <row r="30" spans="2:5" x14ac:dyDescent="0.3">
      <c r="B30" s="129" t="s">
        <v>125</v>
      </c>
      <c r="C30" s="119"/>
      <c r="D30" s="119"/>
      <c r="E30" s="130">
        <f>SUM(E19:E28)</f>
        <v>0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DAB0-22C0-43FB-81E9-42CEE42E10DE}">
  <dimension ref="A1:L69"/>
  <sheetViews>
    <sheetView topLeftCell="A4" workbookViewId="0">
      <selection activeCell="B13" sqref="B13:K13"/>
    </sheetView>
  </sheetViews>
  <sheetFormatPr defaultRowHeight="15.6" x14ac:dyDescent="0.3"/>
  <cols>
    <col min="1" max="1" width="47.09765625" bestFit="1" customWidth="1"/>
  </cols>
  <sheetData>
    <row r="1" spans="1:12" x14ac:dyDescent="0.3">
      <c r="A1" s="8" t="s">
        <v>283</v>
      </c>
    </row>
    <row r="2" spans="1:12" x14ac:dyDescent="0.3">
      <c r="A2" s="9" t="s">
        <v>284</v>
      </c>
    </row>
    <row r="3" spans="1:12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3">
      <c r="A6" s="11" t="s">
        <v>286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1" t="s">
        <v>15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x14ac:dyDescent="0.3">
      <c r="A8" s="11"/>
      <c r="B8" s="11" t="s">
        <v>287</v>
      </c>
      <c r="C8" s="11" t="s">
        <v>288</v>
      </c>
      <c r="D8" s="11" t="s">
        <v>289</v>
      </c>
      <c r="E8" s="11" t="s">
        <v>290</v>
      </c>
      <c r="F8" s="11" t="s">
        <v>291</v>
      </c>
      <c r="G8" s="11" t="s">
        <v>292</v>
      </c>
      <c r="H8" s="11" t="s">
        <v>293</v>
      </c>
      <c r="I8" s="11" t="s">
        <v>294</v>
      </c>
      <c r="J8" s="11" t="s">
        <v>295</v>
      </c>
      <c r="K8" s="11" t="s">
        <v>296</v>
      </c>
      <c r="L8" s="11" t="s">
        <v>297</v>
      </c>
    </row>
    <row r="9" spans="1:12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 t="s">
        <v>16</v>
      </c>
    </row>
    <row r="10" spans="1:12" x14ac:dyDescent="0.3">
      <c r="A10" s="26" t="s">
        <v>17</v>
      </c>
      <c r="B10" s="37">
        <v>2060.5230000000001</v>
      </c>
      <c r="C10" s="37">
        <v>2344.3919999999998</v>
      </c>
      <c r="D10" s="37">
        <v>2649.181</v>
      </c>
      <c r="E10" s="37">
        <v>3288.319</v>
      </c>
      <c r="F10" s="37">
        <v>3979.2959999999998</v>
      </c>
      <c r="G10" s="37">
        <v>4401.8789999999999</v>
      </c>
      <c r="H10" s="37">
        <v>6256.6170000000002</v>
      </c>
      <c r="I10" s="37">
        <v>8110.518</v>
      </c>
      <c r="J10" s="37">
        <v>9619.2780000000002</v>
      </c>
      <c r="K10" s="37">
        <v>10588.126</v>
      </c>
      <c r="L10" s="37">
        <v>10749.895</v>
      </c>
    </row>
    <row r="11" spans="1:12" x14ac:dyDescent="0.3">
      <c r="A11" s="25" t="s">
        <v>18</v>
      </c>
      <c r="B11" s="42">
        <v>1063.357</v>
      </c>
      <c r="C11" s="42">
        <v>1144.7750000000001</v>
      </c>
      <c r="D11" s="42">
        <v>1241.693</v>
      </c>
      <c r="E11" s="42">
        <v>1472.0319999999999</v>
      </c>
      <c r="F11" s="42">
        <v>1755.91</v>
      </c>
      <c r="G11" s="42">
        <v>1943.048</v>
      </c>
      <c r="H11" s="42">
        <v>2656.8339999999998</v>
      </c>
      <c r="I11" s="42">
        <v>3626.93</v>
      </c>
      <c r="J11" s="42">
        <v>4014.8829999999998</v>
      </c>
      <c r="K11" s="42">
        <v>4320.05</v>
      </c>
      <c r="L11" s="42">
        <v>4375.3909999999996</v>
      </c>
    </row>
    <row r="12" spans="1:12" x14ac:dyDescent="0.3">
      <c r="A12" s="23" t="s">
        <v>19</v>
      </c>
      <c r="B12" s="39">
        <v>989.97400000000005</v>
      </c>
      <c r="C12" s="39">
        <v>1057.078</v>
      </c>
      <c r="D12" s="39">
        <v>1133.4580000000001</v>
      </c>
      <c r="E12" s="39">
        <v>1349.548</v>
      </c>
      <c r="F12" s="39">
        <v>1594.11</v>
      </c>
      <c r="G12" s="39">
        <v>1757.788</v>
      </c>
      <c r="H12" s="39">
        <v>2432.6280000000002</v>
      </c>
      <c r="I12" s="39">
        <v>3335.1390000000001</v>
      </c>
      <c r="J12" s="39">
        <v>3635.4989999999998</v>
      </c>
      <c r="K12" s="39">
        <v>3873.5259999999998</v>
      </c>
      <c r="L12" s="39">
        <v>3910.0970000000002</v>
      </c>
    </row>
    <row r="13" spans="1:12" x14ac:dyDescent="0.3">
      <c r="A13" s="43" t="s">
        <v>20</v>
      </c>
      <c r="B13" s="42">
        <v>73.382999999999996</v>
      </c>
      <c r="C13" s="42">
        <v>87.697000000000003</v>
      </c>
      <c r="D13" s="42">
        <v>108.235</v>
      </c>
      <c r="E13" s="42">
        <v>122.48399999999999</v>
      </c>
      <c r="F13" s="42">
        <v>161.80000000000001</v>
      </c>
      <c r="G13" s="42">
        <v>185.26</v>
      </c>
      <c r="H13" s="42">
        <v>224.20599999999999</v>
      </c>
      <c r="I13" s="42">
        <v>291.791</v>
      </c>
      <c r="J13" s="42">
        <v>379.38400000000001</v>
      </c>
      <c r="K13" s="42">
        <v>446.524</v>
      </c>
      <c r="L13" s="42">
        <v>465.29399999999998</v>
      </c>
    </row>
    <row r="14" spans="1:12" x14ac:dyDescent="0.3">
      <c r="A14" s="20" t="s">
        <v>21</v>
      </c>
      <c r="B14" s="39">
        <v>72.572999999999993</v>
      </c>
      <c r="C14" s="39">
        <v>86.997</v>
      </c>
      <c r="D14" s="39">
        <v>108.235</v>
      </c>
      <c r="E14" s="39">
        <v>122.48399999999999</v>
      </c>
      <c r="F14" s="39">
        <v>161.80000000000001</v>
      </c>
      <c r="G14" s="39">
        <v>180.1</v>
      </c>
      <c r="H14" s="39">
        <v>215.42400000000001</v>
      </c>
      <c r="I14" s="39">
        <v>283.03899999999999</v>
      </c>
      <c r="J14" s="39">
        <v>374.37400000000002</v>
      </c>
      <c r="K14" s="39">
        <v>443.78899999999999</v>
      </c>
      <c r="L14" s="39">
        <v>460.92899999999997</v>
      </c>
    </row>
    <row r="15" spans="1:12" x14ac:dyDescent="0.3">
      <c r="A15" s="19" t="s">
        <v>22</v>
      </c>
      <c r="B15" s="41">
        <v>0.81</v>
      </c>
      <c r="C15" s="41">
        <v>0.7</v>
      </c>
      <c r="D15" s="41">
        <v>0</v>
      </c>
      <c r="E15" s="22"/>
      <c r="F15" s="22"/>
      <c r="G15" s="41">
        <v>5.16</v>
      </c>
      <c r="H15" s="41">
        <v>8.782</v>
      </c>
      <c r="I15" s="41">
        <v>8.7520000000000007</v>
      </c>
      <c r="J15" s="41">
        <v>5.01</v>
      </c>
      <c r="K15" s="41">
        <v>2.7349999999999999</v>
      </c>
      <c r="L15" s="41">
        <v>4.3650000000000002</v>
      </c>
    </row>
    <row r="16" spans="1:12" x14ac:dyDescent="0.3">
      <c r="A16" s="26" t="s">
        <v>23</v>
      </c>
      <c r="B16" s="37">
        <v>997.16600000000005</v>
      </c>
      <c r="C16" s="37">
        <v>1199.617</v>
      </c>
      <c r="D16" s="37">
        <v>1407.4880000000001</v>
      </c>
      <c r="E16" s="37">
        <v>1816.287</v>
      </c>
      <c r="F16" s="37">
        <v>2223.386</v>
      </c>
      <c r="G16" s="37">
        <v>2458.8310000000001</v>
      </c>
      <c r="H16" s="37">
        <v>3599.7829999999999</v>
      </c>
      <c r="I16" s="37">
        <v>4483.5879999999997</v>
      </c>
      <c r="J16" s="37">
        <v>5604.3950000000004</v>
      </c>
      <c r="K16" s="37">
        <v>6268.076</v>
      </c>
      <c r="L16" s="37">
        <v>6374.5039999999999</v>
      </c>
    </row>
    <row r="17" spans="1:12" x14ac:dyDescent="0.3">
      <c r="A17" s="25" t="s">
        <v>24</v>
      </c>
      <c r="B17" s="42">
        <v>640.048</v>
      </c>
      <c r="C17" s="42">
        <v>770.16499999999996</v>
      </c>
      <c r="D17" s="42">
        <v>911.58100000000002</v>
      </c>
      <c r="E17" s="42">
        <v>1111.8440000000001</v>
      </c>
      <c r="F17" s="42">
        <v>1332.768</v>
      </c>
      <c r="G17" s="42">
        <v>1642.999</v>
      </c>
      <c r="H17" s="42">
        <v>2216.6709999999998</v>
      </c>
      <c r="I17" s="42">
        <v>2749.9119999999998</v>
      </c>
      <c r="J17" s="42">
        <v>3396.7510000000002</v>
      </c>
      <c r="K17" s="42">
        <v>3768.299</v>
      </c>
      <c r="L17" s="42">
        <v>3826.2550000000001</v>
      </c>
    </row>
    <row r="18" spans="1:12" x14ac:dyDescent="0.3">
      <c r="A18" s="23" t="s">
        <v>25</v>
      </c>
      <c r="B18" s="39">
        <v>640.048</v>
      </c>
      <c r="C18" s="39">
        <v>770.16499999999996</v>
      </c>
      <c r="D18" s="39">
        <v>911.58100000000002</v>
      </c>
      <c r="E18" s="39">
        <v>1111.8440000000001</v>
      </c>
      <c r="F18" s="39">
        <v>1332.768</v>
      </c>
      <c r="G18" s="39">
        <v>1642.999</v>
      </c>
      <c r="H18" s="39">
        <v>2216.6709999999998</v>
      </c>
      <c r="I18" s="39">
        <v>2749.9119999999998</v>
      </c>
      <c r="J18" s="39">
        <v>3396.7510000000002</v>
      </c>
      <c r="K18" s="39">
        <v>3768.299</v>
      </c>
      <c r="L18" s="39">
        <v>3826.2550000000001</v>
      </c>
    </row>
    <row r="19" spans="1:12" x14ac:dyDescent="0.3">
      <c r="A19" s="12" t="s">
        <v>26</v>
      </c>
      <c r="B19" s="42">
        <v>357.11799999999999</v>
      </c>
      <c r="C19" s="42">
        <v>429.452</v>
      </c>
      <c r="D19" s="42">
        <v>495.90699999999998</v>
      </c>
      <c r="E19" s="42">
        <v>704.44299999999998</v>
      </c>
      <c r="F19" s="42">
        <v>890.61800000000005</v>
      </c>
      <c r="G19" s="42">
        <v>815.83199999999999</v>
      </c>
      <c r="H19" s="42">
        <v>1383.1120000000001</v>
      </c>
      <c r="I19" s="42">
        <v>1733.6759999999999</v>
      </c>
      <c r="J19" s="42">
        <v>2207.6439999999998</v>
      </c>
      <c r="K19" s="42">
        <v>2499.777</v>
      </c>
      <c r="L19" s="42">
        <v>2548.2489999999998</v>
      </c>
    </row>
    <row r="20" spans="1:12" x14ac:dyDescent="0.3">
      <c r="A20" s="14" t="s">
        <v>27</v>
      </c>
      <c r="B20" s="37">
        <v>11.377000000000001</v>
      </c>
      <c r="C20" s="37">
        <v>-6.7229999999999999</v>
      </c>
      <c r="D20" s="37">
        <v>3.9969999999999999</v>
      </c>
      <c r="E20" s="37">
        <v>33.055999999999997</v>
      </c>
      <c r="F20" s="37">
        <v>10.984</v>
      </c>
      <c r="G20" s="37">
        <v>-26.689</v>
      </c>
      <c r="H20" s="37">
        <v>12.025</v>
      </c>
      <c r="I20" s="37">
        <v>18.753</v>
      </c>
      <c r="J20" s="37">
        <v>19.827000000000002</v>
      </c>
      <c r="K20" s="37">
        <v>198.22300000000001</v>
      </c>
      <c r="L20" s="37">
        <v>66.841999999999999</v>
      </c>
    </row>
    <row r="21" spans="1:12" x14ac:dyDescent="0.3">
      <c r="A21" s="16" t="s">
        <v>28</v>
      </c>
      <c r="B21" s="41">
        <v>11.377000000000001</v>
      </c>
      <c r="C21" s="38">
        <v>-6.7229999999999999</v>
      </c>
      <c r="D21" s="41">
        <v>3.9969999999999999</v>
      </c>
      <c r="E21" s="41">
        <v>33.055999999999997</v>
      </c>
      <c r="F21" s="41">
        <v>10.984</v>
      </c>
      <c r="G21" s="38">
        <v>-26.689</v>
      </c>
      <c r="H21" s="41">
        <v>12.025</v>
      </c>
      <c r="I21" s="41">
        <v>18.753</v>
      </c>
      <c r="J21" s="41">
        <v>19.827000000000002</v>
      </c>
      <c r="K21" s="41">
        <v>198.22300000000001</v>
      </c>
      <c r="L21" s="41">
        <v>66.841999999999999</v>
      </c>
    </row>
    <row r="22" spans="1:12" x14ac:dyDescent="0.3">
      <c r="A22" s="14" t="s">
        <v>29</v>
      </c>
      <c r="B22" s="26"/>
      <c r="C22" s="26"/>
      <c r="D22" s="37">
        <v>39.905999999999999</v>
      </c>
      <c r="E22" s="37">
        <v>22.248999999999999</v>
      </c>
      <c r="F22" s="37">
        <v>4.2089999999999996</v>
      </c>
      <c r="G22" s="37">
        <v>-30.207000000000001</v>
      </c>
      <c r="H22" s="37">
        <v>61.268000000000001</v>
      </c>
      <c r="I22" s="37">
        <v>419.858</v>
      </c>
      <c r="J22" s="37">
        <v>51.735999999999997</v>
      </c>
      <c r="K22" s="37">
        <v>121.923</v>
      </c>
      <c r="L22" s="37">
        <v>44.527999999999999</v>
      </c>
    </row>
    <row r="23" spans="1:12" x14ac:dyDescent="0.3">
      <c r="A23" s="43" t="s">
        <v>30</v>
      </c>
      <c r="B23" s="12"/>
      <c r="C23" s="12"/>
      <c r="D23" s="12"/>
      <c r="E23" s="12"/>
      <c r="F23" s="12"/>
      <c r="G23" s="12"/>
      <c r="H23" s="12"/>
      <c r="I23" s="42">
        <v>407.91300000000001</v>
      </c>
      <c r="J23" s="42">
        <v>44.186</v>
      </c>
      <c r="K23" s="12"/>
      <c r="L23" s="12"/>
    </row>
    <row r="24" spans="1:12" x14ac:dyDescent="0.3">
      <c r="A24" s="20" t="s">
        <v>31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362.49200000000002</v>
      </c>
      <c r="J24" s="39">
        <v>0</v>
      </c>
      <c r="K24" s="39">
        <v>0</v>
      </c>
      <c r="L24" s="39">
        <v>0</v>
      </c>
    </row>
    <row r="25" spans="1:12" x14ac:dyDescent="0.3">
      <c r="A25" s="19" t="s">
        <v>32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40.585000000000001</v>
      </c>
      <c r="J25" s="41">
        <v>33.024999999999999</v>
      </c>
      <c r="K25" s="41">
        <v>0</v>
      </c>
      <c r="L25" s="41">
        <v>0</v>
      </c>
    </row>
    <row r="26" spans="1:12" x14ac:dyDescent="0.3">
      <c r="A26" s="20" t="s">
        <v>298</v>
      </c>
      <c r="B26" s="28"/>
      <c r="C26" s="28"/>
      <c r="D26" s="28"/>
      <c r="E26" s="28"/>
      <c r="F26" s="28"/>
      <c r="G26" s="28"/>
      <c r="H26" s="28"/>
      <c r="I26" s="39">
        <v>4.8360000000000003</v>
      </c>
      <c r="J26" s="39">
        <v>11.161</v>
      </c>
      <c r="K26" s="28"/>
      <c r="L26" s="28"/>
    </row>
    <row r="27" spans="1:12" x14ac:dyDescent="0.3">
      <c r="A27" s="16" t="s">
        <v>33</v>
      </c>
      <c r="B27" s="41">
        <v>0</v>
      </c>
      <c r="C27" s="41">
        <v>0</v>
      </c>
      <c r="D27" s="41">
        <v>47.222999999999999</v>
      </c>
      <c r="E27" s="41">
        <v>0</v>
      </c>
      <c r="F27" s="41">
        <v>0</v>
      </c>
      <c r="G27" s="41">
        <v>29.841999999999999</v>
      </c>
      <c r="H27" s="41">
        <v>41.393999999999998</v>
      </c>
      <c r="I27" s="41">
        <v>0</v>
      </c>
      <c r="J27" s="41">
        <v>30.315000000000001</v>
      </c>
      <c r="K27" s="41">
        <v>3.5</v>
      </c>
      <c r="L27" s="41">
        <v>3.5</v>
      </c>
    </row>
    <row r="28" spans="1:12" x14ac:dyDescent="0.3">
      <c r="A28" s="18" t="s">
        <v>299</v>
      </c>
      <c r="B28" s="26"/>
      <c r="C28" s="26"/>
      <c r="D28" s="37">
        <v>7.3170000000000002</v>
      </c>
      <c r="E28" s="37">
        <v>-22.248999999999999</v>
      </c>
      <c r="F28" s="37">
        <v>-4.2089999999999996</v>
      </c>
      <c r="G28" s="37">
        <v>22.949000000000002</v>
      </c>
      <c r="H28" s="37">
        <v>-19.873999999999999</v>
      </c>
      <c r="I28" s="37">
        <v>-11.945</v>
      </c>
      <c r="J28" s="37">
        <v>22.765000000000001</v>
      </c>
      <c r="K28" s="37">
        <v>-118.423</v>
      </c>
      <c r="L28" s="37">
        <v>-41.027999999999999</v>
      </c>
    </row>
    <row r="29" spans="1:12" x14ac:dyDescent="0.3">
      <c r="A29" s="19" t="s">
        <v>300</v>
      </c>
      <c r="B29" s="22"/>
      <c r="C29" s="22"/>
      <c r="D29" s="41">
        <v>7.3170000000000002</v>
      </c>
      <c r="E29" s="38">
        <v>-22.248999999999999</v>
      </c>
      <c r="F29" s="38">
        <v>-4.2089999999999996</v>
      </c>
      <c r="G29" s="41">
        <v>22.949000000000002</v>
      </c>
      <c r="H29" s="38">
        <v>-19.873999999999999</v>
      </c>
      <c r="I29" s="38">
        <v>-11.945</v>
      </c>
      <c r="J29" s="41">
        <v>22.765000000000001</v>
      </c>
      <c r="K29" s="38">
        <v>-118.423</v>
      </c>
      <c r="L29" s="38">
        <v>-41.027999999999999</v>
      </c>
    </row>
    <row r="30" spans="1:12" x14ac:dyDescent="0.3">
      <c r="A30" s="18" t="s">
        <v>301</v>
      </c>
      <c r="B30" s="26"/>
      <c r="C30" s="26"/>
      <c r="D30" s="26"/>
      <c r="E30" s="26"/>
      <c r="F30" s="26"/>
      <c r="G30" s="37">
        <v>-37.1</v>
      </c>
      <c r="H30" s="26"/>
      <c r="I30" s="26"/>
      <c r="J30" s="26"/>
      <c r="K30" s="26"/>
      <c r="L30" s="26"/>
    </row>
    <row r="31" spans="1:12" x14ac:dyDescent="0.3">
      <c r="A31" s="19" t="s">
        <v>302</v>
      </c>
      <c r="B31" s="22"/>
      <c r="C31" s="22"/>
      <c r="D31" s="22"/>
      <c r="E31" s="22"/>
      <c r="F31" s="22"/>
      <c r="G31" s="38">
        <v>-37.1</v>
      </c>
      <c r="H31" s="22"/>
      <c r="I31" s="22"/>
      <c r="J31" s="22"/>
      <c r="K31" s="22"/>
      <c r="L31" s="22"/>
    </row>
    <row r="32" spans="1:12" x14ac:dyDescent="0.3">
      <c r="A32" s="26" t="s">
        <v>34</v>
      </c>
      <c r="B32" s="37">
        <v>368.495</v>
      </c>
      <c r="C32" s="37">
        <v>422.72899999999998</v>
      </c>
      <c r="D32" s="37">
        <v>459.99799999999999</v>
      </c>
      <c r="E32" s="37">
        <v>715.25</v>
      </c>
      <c r="F32" s="37">
        <v>897.39300000000003</v>
      </c>
      <c r="G32" s="37">
        <v>819.35</v>
      </c>
      <c r="H32" s="37">
        <v>1333.8689999999999</v>
      </c>
      <c r="I32" s="37">
        <v>1332.5709999999999</v>
      </c>
      <c r="J32" s="37">
        <v>2175.7350000000001</v>
      </c>
      <c r="K32" s="37">
        <v>2576.0770000000002</v>
      </c>
      <c r="L32" s="37">
        <v>2570.5630000000001</v>
      </c>
    </row>
    <row r="33" spans="1:12" x14ac:dyDescent="0.3">
      <c r="A33" s="25" t="s">
        <v>35</v>
      </c>
      <c r="B33" s="42">
        <v>102.44799999999999</v>
      </c>
      <c r="C33" s="42">
        <v>119.348</v>
      </c>
      <c r="D33" s="42">
        <v>201.33600000000001</v>
      </c>
      <c r="E33" s="42">
        <v>231.44900000000001</v>
      </c>
      <c r="F33" s="42">
        <v>251.797</v>
      </c>
      <c r="G33" s="42">
        <v>230.43700000000001</v>
      </c>
      <c r="H33" s="42">
        <v>358.54700000000003</v>
      </c>
      <c r="I33" s="42">
        <v>477.77100000000002</v>
      </c>
      <c r="J33" s="42">
        <v>625.54499999999996</v>
      </c>
      <c r="K33" s="42">
        <v>761.46100000000001</v>
      </c>
      <c r="L33" s="42">
        <v>762.79600000000005</v>
      </c>
    </row>
    <row r="34" spans="1:12" x14ac:dyDescent="0.3">
      <c r="A34" s="23" t="s">
        <v>36</v>
      </c>
      <c r="B34" s="40">
        <v>-15.298999999999999</v>
      </c>
      <c r="C34" s="39">
        <v>42.935000000000002</v>
      </c>
      <c r="D34" s="39">
        <v>91.296999999999997</v>
      </c>
      <c r="E34" s="39">
        <v>89.366</v>
      </c>
      <c r="F34" s="39">
        <v>57.244999999999997</v>
      </c>
      <c r="G34" s="39">
        <v>10.509</v>
      </c>
      <c r="H34" s="39">
        <v>43.308999999999997</v>
      </c>
      <c r="I34" s="39">
        <v>68.120999999999995</v>
      </c>
      <c r="J34" s="39">
        <v>183.202</v>
      </c>
      <c r="K34" s="39">
        <v>118.834</v>
      </c>
      <c r="L34" s="28"/>
    </row>
    <row r="35" spans="1:12" x14ac:dyDescent="0.3">
      <c r="A35" s="16" t="s">
        <v>37</v>
      </c>
      <c r="B35" s="41">
        <v>110.372</v>
      </c>
      <c r="C35" s="41">
        <v>94.581000000000003</v>
      </c>
      <c r="D35" s="41">
        <v>109.322</v>
      </c>
      <c r="E35" s="41">
        <v>123.129</v>
      </c>
      <c r="F35" s="41">
        <v>170.15799999999999</v>
      </c>
      <c r="G35" s="41">
        <v>185.803</v>
      </c>
      <c r="H35" s="41">
        <v>322.10500000000002</v>
      </c>
      <c r="I35" s="41">
        <v>400.25</v>
      </c>
      <c r="J35" s="41">
        <v>469.09</v>
      </c>
      <c r="K35" s="41">
        <v>584.24800000000005</v>
      </c>
      <c r="L35" s="22"/>
    </row>
    <row r="36" spans="1:12" x14ac:dyDescent="0.3">
      <c r="A36" s="23" t="s">
        <v>38</v>
      </c>
      <c r="B36" s="39">
        <v>9.1440000000000001</v>
      </c>
      <c r="C36" s="40">
        <v>-12.904999999999999</v>
      </c>
      <c r="D36" s="39">
        <v>18.431000000000001</v>
      </c>
      <c r="E36" s="40">
        <v>-21.634</v>
      </c>
      <c r="F36" s="40">
        <v>-5.8330000000000002</v>
      </c>
      <c r="G36" s="39">
        <v>25.677</v>
      </c>
      <c r="H36" s="39">
        <v>6.9029999999999996</v>
      </c>
      <c r="I36" s="39">
        <v>11.295</v>
      </c>
      <c r="J36" s="40">
        <v>-17.838000000000001</v>
      </c>
      <c r="K36" s="39">
        <v>75.433000000000007</v>
      </c>
      <c r="L36" s="28"/>
    </row>
    <row r="37" spans="1:12" x14ac:dyDescent="0.3">
      <c r="A37" s="16" t="s">
        <v>39</v>
      </c>
      <c r="B37" s="38">
        <v>-1.7689999999999999</v>
      </c>
      <c r="C37" s="38">
        <v>-5.2629999999999999</v>
      </c>
      <c r="D37" s="38">
        <v>-17.713999999999999</v>
      </c>
      <c r="E37" s="41">
        <v>40.588000000000001</v>
      </c>
      <c r="F37" s="41">
        <v>30.227</v>
      </c>
      <c r="G37" s="41">
        <v>8.4480000000000004</v>
      </c>
      <c r="H37" s="38">
        <v>-13.77</v>
      </c>
      <c r="I37" s="38">
        <v>-1.895</v>
      </c>
      <c r="J37" s="38">
        <v>-8.9090000000000007</v>
      </c>
      <c r="K37" s="38">
        <v>-17.053999999999998</v>
      </c>
      <c r="L37" s="22"/>
    </row>
    <row r="38" spans="1:12" x14ac:dyDescent="0.3">
      <c r="A38" s="28" t="s">
        <v>40</v>
      </c>
      <c r="B38" s="39">
        <v>266.04700000000003</v>
      </c>
      <c r="C38" s="39">
        <v>303.38099999999997</v>
      </c>
      <c r="D38" s="39">
        <v>258.66199999999998</v>
      </c>
      <c r="E38" s="39">
        <v>483.80099999999999</v>
      </c>
      <c r="F38" s="39">
        <v>645.596</v>
      </c>
      <c r="G38" s="39">
        <v>588.91300000000001</v>
      </c>
      <c r="H38" s="39">
        <v>975.322</v>
      </c>
      <c r="I38" s="39">
        <v>854.8</v>
      </c>
      <c r="J38" s="39">
        <v>1550.19</v>
      </c>
      <c r="K38" s="39">
        <v>1814.616</v>
      </c>
      <c r="L38" s="39">
        <v>1807.7670000000001</v>
      </c>
    </row>
    <row r="39" spans="1:12" x14ac:dyDescent="0.3">
      <c r="A39" s="12" t="s">
        <v>42</v>
      </c>
      <c r="B39" s="42">
        <v>266.04700000000003</v>
      </c>
      <c r="C39" s="42">
        <v>303.38099999999997</v>
      </c>
      <c r="D39" s="42">
        <v>258.66199999999998</v>
      </c>
      <c r="E39" s="42">
        <v>483.80099999999999</v>
      </c>
      <c r="F39" s="42">
        <v>645.596</v>
      </c>
      <c r="G39" s="42">
        <v>588.91300000000001</v>
      </c>
      <c r="H39" s="42">
        <v>975.322</v>
      </c>
      <c r="I39" s="42">
        <v>854.8</v>
      </c>
      <c r="J39" s="42">
        <v>1550.19</v>
      </c>
      <c r="K39" s="42">
        <v>1814.616</v>
      </c>
      <c r="L39" s="42">
        <v>1807.7670000000001</v>
      </c>
    </row>
    <row r="40" spans="1:12" x14ac:dyDescent="0.3">
      <c r="A40" s="30" t="s">
        <v>43</v>
      </c>
      <c r="B40" s="39">
        <v>266.04700000000003</v>
      </c>
      <c r="C40" s="39">
        <v>303.38099999999997</v>
      </c>
      <c r="D40" s="39">
        <v>258.66199999999998</v>
      </c>
      <c r="E40" s="39">
        <v>483.80099999999999</v>
      </c>
      <c r="F40" s="39">
        <v>645.596</v>
      </c>
      <c r="G40" s="39">
        <v>588.91300000000001</v>
      </c>
      <c r="H40" s="39">
        <v>975.322</v>
      </c>
      <c r="I40" s="39">
        <v>854.8</v>
      </c>
      <c r="J40" s="39">
        <v>1550.19</v>
      </c>
      <c r="K40" s="39">
        <v>1814.616</v>
      </c>
      <c r="L40" s="39">
        <v>1807.7670000000001</v>
      </c>
    </row>
    <row r="41" spans="1:12" x14ac:dyDescent="0.3">
      <c r="A41" s="12" t="s">
        <v>44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x14ac:dyDescent="0.3">
      <c r="A42" s="30" t="s">
        <v>45</v>
      </c>
      <c r="B42" s="31">
        <v>1.8920920000000001</v>
      </c>
      <c r="C42" s="31">
        <v>2.2095889999999998</v>
      </c>
      <c r="D42" s="31">
        <v>2.1042610000000002</v>
      </c>
      <c r="E42" s="31">
        <v>3.7274880000000001</v>
      </c>
      <c r="F42" s="31">
        <v>4.9524059999999999</v>
      </c>
      <c r="G42" s="31">
        <v>4.3383799999999999</v>
      </c>
      <c r="H42" s="31">
        <v>7.814648</v>
      </c>
      <c r="I42" s="31">
        <v>8.9730319999999999</v>
      </c>
      <c r="J42" s="31">
        <v>12.485481</v>
      </c>
      <c r="K42" s="31">
        <v>15.330311</v>
      </c>
      <c r="L42" s="31">
        <v>15.217568</v>
      </c>
    </row>
    <row r="43" spans="1:12" x14ac:dyDescent="0.3">
      <c r="A43" s="25" t="s">
        <v>46</v>
      </c>
      <c r="B43" s="32">
        <v>1.9</v>
      </c>
      <c r="C43" s="32">
        <v>2.21</v>
      </c>
      <c r="D43" s="32">
        <v>1.9</v>
      </c>
      <c r="E43" s="32">
        <v>3.6263000000000001</v>
      </c>
      <c r="F43" s="32">
        <v>4.9512</v>
      </c>
      <c r="G43" s="32">
        <v>4.5199999999999996</v>
      </c>
      <c r="H43" s="32">
        <v>7.5159000000000002</v>
      </c>
      <c r="I43" s="32">
        <v>6.6955999999999998</v>
      </c>
      <c r="J43" s="32">
        <v>12.2326</v>
      </c>
      <c r="K43" s="32">
        <v>14.6653</v>
      </c>
      <c r="L43" s="32">
        <v>14.674300000000001</v>
      </c>
    </row>
    <row r="44" spans="1:12" x14ac:dyDescent="0.3">
      <c r="A44" s="23" t="s">
        <v>47</v>
      </c>
      <c r="B44" s="31">
        <v>140.36500000000001</v>
      </c>
      <c r="C44" s="31">
        <v>137.08600000000001</v>
      </c>
      <c r="D44" s="31">
        <v>135.988</v>
      </c>
      <c r="E44" s="31">
        <v>133.41300000000001</v>
      </c>
      <c r="F44" s="31">
        <v>130.393</v>
      </c>
      <c r="G44" s="31">
        <v>130.28899999999999</v>
      </c>
      <c r="H44" s="31">
        <v>129.768</v>
      </c>
      <c r="I44" s="31">
        <v>127.666</v>
      </c>
      <c r="J44" s="31">
        <v>126.726</v>
      </c>
      <c r="K44" s="31">
        <v>123.735</v>
      </c>
      <c r="L44" s="31">
        <v>120.63200000000001</v>
      </c>
    </row>
    <row r="45" spans="1:12" x14ac:dyDescent="0.3">
      <c r="A45" s="16" t="s">
        <v>48</v>
      </c>
      <c r="B45" s="33">
        <v>137.286</v>
      </c>
      <c r="C45" s="33">
        <v>137.08500000000001</v>
      </c>
      <c r="D45" s="33">
        <v>135.43100000000001</v>
      </c>
      <c r="E45" s="33">
        <v>130.93199999999999</v>
      </c>
      <c r="F45" s="33">
        <v>130.34899999999999</v>
      </c>
      <c r="G45" s="33">
        <v>130.35300000000001</v>
      </c>
      <c r="H45" s="33">
        <v>128.5</v>
      </c>
      <c r="I45" s="33">
        <v>127.321</v>
      </c>
      <c r="J45" s="33">
        <v>126.22199999999999</v>
      </c>
      <c r="K45" s="33">
        <v>121.282</v>
      </c>
      <c r="L45" s="33">
        <v>120.02500000000001</v>
      </c>
    </row>
    <row r="46" spans="1:12" x14ac:dyDescent="0.3">
      <c r="A46" s="14" t="s">
        <v>49</v>
      </c>
      <c r="B46" s="34">
        <v>1.89</v>
      </c>
      <c r="C46" s="34">
        <v>2.21</v>
      </c>
      <c r="D46" s="34">
        <v>1.9</v>
      </c>
      <c r="E46" s="34">
        <v>3.6112000000000002</v>
      </c>
      <c r="F46" s="34">
        <v>4.9298999999999999</v>
      </c>
      <c r="G46" s="34">
        <v>4.5</v>
      </c>
      <c r="H46" s="34">
        <v>7.4855</v>
      </c>
      <c r="I46" s="34">
        <v>6.6772</v>
      </c>
      <c r="J46" s="34">
        <v>12.2005</v>
      </c>
      <c r="K46" s="34">
        <v>14.6417</v>
      </c>
      <c r="L46" s="34">
        <v>14.6541</v>
      </c>
    </row>
    <row r="47" spans="1:12" x14ac:dyDescent="0.3">
      <c r="A47" s="16" t="s">
        <v>50</v>
      </c>
      <c r="B47" s="33">
        <v>140.61000000000001</v>
      </c>
      <c r="C47" s="33">
        <v>137.30199999999999</v>
      </c>
      <c r="D47" s="33">
        <v>136.19800000000001</v>
      </c>
      <c r="E47" s="33">
        <v>133.971</v>
      </c>
      <c r="F47" s="33">
        <v>130.95500000000001</v>
      </c>
      <c r="G47" s="33">
        <v>130.87100000000001</v>
      </c>
      <c r="H47" s="33">
        <v>130.29499999999999</v>
      </c>
      <c r="I47" s="33">
        <v>128.017</v>
      </c>
      <c r="J47" s="33">
        <v>127.06</v>
      </c>
      <c r="K47" s="33">
        <v>123.935</v>
      </c>
      <c r="L47" s="33">
        <v>120.843</v>
      </c>
    </row>
    <row r="48" spans="1:12" x14ac:dyDescent="0.3">
      <c r="A48" s="23" t="s">
        <v>48</v>
      </c>
      <c r="B48" s="31">
        <v>137.286</v>
      </c>
      <c r="C48" s="31">
        <v>137.08500000000001</v>
      </c>
      <c r="D48" s="31">
        <v>135.43100000000001</v>
      </c>
      <c r="E48" s="31">
        <v>130.93199999999999</v>
      </c>
      <c r="F48" s="31">
        <v>130.34899999999999</v>
      </c>
      <c r="G48" s="31">
        <v>130.35300000000001</v>
      </c>
      <c r="H48" s="31">
        <v>128.5</v>
      </c>
      <c r="I48" s="31">
        <v>127.321</v>
      </c>
      <c r="J48" s="31">
        <v>126.22199999999999</v>
      </c>
      <c r="K48" s="31">
        <v>121.282</v>
      </c>
      <c r="L48" s="31">
        <v>120.02500000000001</v>
      </c>
    </row>
    <row r="49" spans="1:12" x14ac:dyDescent="0.3">
      <c r="A49" s="29" t="s">
        <v>51</v>
      </c>
      <c r="B49" s="33">
        <v>76.45</v>
      </c>
      <c r="C49" s="33">
        <v>80.936000000000007</v>
      </c>
      <c r="D49" s="33">
        <v>87.596000000000004</v>
      </c>
      <c r="E49" s="33">
        <v>88.884</v>
      </c>
      <c r="F49" s="33">
        <v>61.494</v>
      </c>
      <c r="G49" s="33">
        <v>73.299000000000007</v>
      </c>
      <c r="H49" s="33">
        <v>90.400999999999996</v>
      </c>
      <c r="I49" s="33">
        <v>76.906000000000006</v>
      </c>
      <c r="J49" s="33">
        <v>87.275000000000006</v>
      </c>
      <c r="K49" s="33">
        <v>82.828000000000003</v>
      </c>
      <c r="L49" s="22"/>
    </row>
    <row r="50" spans="1:12" x14ac:dyDescent="0.3">
      <c r="A50" s="26" t="s">
        <v>52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</row>
    <row r="51" spans="1:12" x14ac:dyDescent="0.3">
      <c r="A51" s="25" t="s">
        <v>52</v>
      </c>
      <c r="B51" s="13">
        <v>430.50099999999998</v>
      </c>
      <c r="C51" s="13">
        <v>517.149</v>
      </c>
      <c r="D51" s="13">
        <v>604.14200000000005</v>
      </c>
      <c r="E51" s="13">
        <v>826.92700000000002</v>
      </c>
      <c r="F51" s="13">
        <v>1052.4179999999999</v>
      </c>
      <c r="G51" s="13">
        <v>1001.092</v>
      </c>
      <c r="H51" s="13">
        <v>1607.318</v>
      </c>
      <c r="I51" s="13">
        <v>2025.4670000000001</v>
      </c>
      <c r="J51" s="13">
        <v>2587.0279999999998</v>
      </c>
      <c r="K51" s="13">
        <v>2946.3009999999999</v>
      </c>
      <c r="L51" s="13">
        <v>3013.5430000000001</v>
      </c>
    </row>
    <row r="52" spans="1:12" x14ac:dyDescent="0.3">
      <c r="A52" s="23" t="s">
        <v>4</v>
      </c>
      <c r="B52" s="21">
        <v>357.11799999999999</v>
      </c>
      <c r="C52" s="21">
        <v>429.452</v>
      </c>
      <c r="D52" s="21">
        <v>495.90699999999998</v>
      </c>
      <c r="E52" s="21">
        <v>704.44299999999998</v>
      </c>
      <c r="F52" s="21">
        <v>890.61800000000005</v>
      </c>
      <c r="G52" s="21">
        <v>815.83199999999999</v>
      </c>
      <c r="H52" s="21">
        <v>1383.1120000000001</v>
      </c>
      <c r="I52" s="21">
        <v>1733.6759999999999</v>
      </c>
      <c r="J52" s="21">
        <v>2207.6439999999998</v>
      </c>
      <c r="K52" s="21">
        <v>2499.777</v>
      </c>
      <c r="L52" s="21">
        <v>2548.2489999999998</v>
      </c>
    </row>
    <row r="53" spans="1:12" x14ac:dyDescent="0.3">
      <c r="A53" s="16" t="s">
        <v>20</v>
      </c>
      <c r="B53" s="17">
        <v>73.382999999999996</v>
      </c>
      <c r="C53" s="17">
        <v>87.697000000000003</v>
      </c>
      <c r="D53" s="17">
        <v>108.235</v>
      </c>
      <c r="E53" s="17">
        <v>122.48399999999999</v>
      </c>
      <c r="F53" s="17">
        <v>161.80000000000001</v>
      </c>
      <c r="G53" s="17">
        <v>185.26</v>
      </c>
      <c r="H53" s="17">
        <v>224.20599999999999</v>
      </c>
      <c r="I53" s="17">
        <v>291.791</v>
      </c>
      <c r="J53" s="17">
        <v>379.38400000000001</v>
      </c>
      <c r="K53" s="17">
        <v>446.524</v>
      </c>
      <c r="L53" s="17">
        <v>465.29399999999998</v>
      </c>
    </row>
    <row r="54" spans="1:12" x14ac:dyDescent="0.3">
      <c r="A54" s="35" t="s">
        <v>53</v>
      </c>
    </row>
    <row r="55" spans="1:12" x14ac:dyDescent="0.3">
      <c r="A55" s="35"/>
    </row>
    <row r="56" spans="1:12" x14ac:dyDescent="0.3">
      <c r="A56" t="s">
        <v>99</v>
      </c>
    </row>
    <row r="57" spans="1:12" x14ac:dyDescent="0.3">
      <c r="A57" s="8" t="s">
        <v>303</v>
      </c>
    </row>
    <row r="58" spans="1:12" x14ac:dyDescent="0.3">
      <c r="A58" t="s">
        <v>100</v>
      </c>
    </row>
    <row r="59" spans="1:12" x14ac:dyDescent="0.3">
      <c r="A59" s="46"/>
      <c r="B59" s="46" t="s">
        <v>304</v>
      </c>
      <c r="C59" s="46" t="s">
        <v>305</v>
      </c>
      <c r="D59" s="46" t="s">
        <v>306</v>
      </c>
      <c r="E59" s="46" t="s">
        <v>307</v>
      </c>
      <c r="F59" s="46" t="s">
        <v>308</v>
      </c>
      <c r="G59" s="46" t="s">
        <v>309</v>
      </c>
      <c r="H59" s="46" t="s">
        <v>310</v>
      </c>
      <c r="I59" s="46" t="s">
        <v>311</v>
      </c>
      <c r="J59" s="46" t="s">
        <v>312</v>
      </c>
      <c r="K59" s="46" t="s">
        <v>313</v>
      </c>
    </row>
    <row r="60" spans="1:12" x14ac:dyDescent="0.3">
      <c r="A60" s="14" t="s">
        <v>17</v>
      </c>
      <c r="B60" s="15">
        <v>4401.88</v>
      </c>
      <c r="C60" s="15">
        <v>6256.62</v>
      </c>
      <c r="D60" s="15">
        <v>8110.52</v>
      </c>
      <c r="E60" s="15">
        <v>9619.2800000000007</v>
      </c>
      <c r="F60" s="15">
        <v>10588.1</v>
      </c>
      <c r="G60" s="15">
        <v>11225.8</v>
      </c>
      <c r="H60" s="15">
        <v>12001</v>
      </c>
      <c r="I60" s="15">
        <v>12732.5</v>
      </c>
      <c r="J60" s="15">
        <v>13158.7</v>
      </c>
      <c r="K60" s="15">
        <v>14304</v>
      </c>
    </row>
    <row r="61" spans="1:12" x14ac:dyDescent="0.3">
      <c r="A61" s="16" t="s">
        <v>101</v>
      </c>
      <c r="B61" s="22" t="s">
        <v>102</v>
      </c>
      <c r="C61" s="17">
        <v>6250</v>
      </c>
      <c r="D61" s="17">
        <v>7944</v>
      </c>
      <c r="E61" s="17">
        <v>9549</v>
      </c>
      <c r="F61" s="17">
        <v>10452</v>
      </c>
      <c r="G61" s="17">
        <v>11150</v>
      </c>
      <c r="H61" s="22" t="s">
        <v>102</v>
      </c>
      <c r="I61" s="22" t="s">
        <v>102</v>
      </c>
      <c r="J61" s="22" t="s">
        <v>102</v>
      </c>
      <c r="K61" s="22" t="s">
        <v>102</v>
      </c>
    </row>
    <row r="62" spans="1:12" x14ac:dyDescent="0.3">
      <c r="A62" s="23" t="s">
        <v>103</v>
      </c>
      <c r="B62" s="28" t="s">
        <v>102</v>
      </c>
      <c r="C62" s="21">
        <v>6290</v>
      </c>
      <c r="D62" s="21">
        <v>7994</v>
      </c>
      <c r="E62" s="21">
        <v>9584</v>
      </c>
      <c r="F62" s="21">
        <v>10487</v>
      </c>
      <c r="G62" s="21">
        <v>11300</v>
      </c>
      <c r="H62" s="28" t="s">
        <v>102</v>
      </c>
      <c r="I62" s="28" t="s">
        <v>102</v>
      </c>
      <c r="J62" s="28" t="s">
        <v>102</v>
      </c>
      <c r="K62" s="28" t="s">
        <v>102</v>
      </c>
    </row>
    <row r="63" spans="1:12" x14ac:dyDescent="0.3">
      <c r="A63" s="29" t="s">
        <v>104</v>
      </c>
      <c r="B63" s="17">
        <v>1937.9</v>
      </c>
      <c r="C63" s="17">
        <v>2648.1</v>
      </c>
      <c r="D63" s="17">
        <v>3555.3</v>
      </c>
      <c r="E63" s="17">
        <v>3986.2</v>
      </c>
      <c r="F63" s="17">
        <v>4317.3</v>
      </c>
      <c r="G63" s="17">
        <v>4705.47</v>
      </c>
      <c r="H63" s="17">
        <v>5033.33</v>
      </c>
      <c r="I63" s="17">
        <v>5410</v>
      </c>
      <c r="J63" s="17">
        <v>5712</v>
      </c>
      <c r="K63" s="17">
        <v>6029</v>
      </c>
    </row>
    <row r="64" spans="1:12" x14ac:dyDescent="0.3">
      <c r="A64" s="30" t="s">
        <v>23</v>
      </c>
      <c r="B64" s="21">
        <v>2464</v>
      </c>
      <c r="C64" s="21">
        <v>3608.6</v>
      </c>
      <c r="D64" s="21">
        <v>4555.2700000000004</v>
      </c>
      <c r="E64" s="21">
        <v>5633.1</v>
      </c>
      <c r="F64" s="21">
        <v>6270.8</v>
      </c>
      <c r="G64" s="21">
        <v>6505.59</v>
      </c>
      <c r="H64" s="21">
        <v>6925.68</v>
      </c>
      <c r="I64" s="21">
        <v>7131.5</v>
      </c>
      <c r="J64" s="21">
        <v>7841</v>
      </c>
      <c r="K64" s="21">
        <v>8275</v>
      </c>
    </row>
    <row r="65" spans="1:11" x14ac:dyDescent="0.3">
      <c r="A65" s="29" t="s">
        <v>52</v>
      </c>
      <c r="B65" s="17">
        <v>1033.3</v>
      </c>
      <c r="C65" s="17">
        <v>1599</v>
      </c>
      <c r="D65" s="17">
        <v>2080.9</v>
      </c>
      <c r="E65" s="17">
        <v>2610</v>
      </c>
      <c r="F65" s="17">
        <v>2952.2</v>
      </c>
      <c r="G65" s="17">
        <v>2970.57</v>
      </c>
      <c r="H65" s="17">
        <v>3113.45</v>
      </c>
      <c r="I65" s="17">
        <v>3284.02</v>
      </c>
      <c r="J65" s="17">
        <v>3469.76</v>
      </c>
      <c r="K65" s="17">
        <v>3763</v>
      </c>
    </row>
    <row r="66" spans="1:11" x14ac:dyDescent="0.3">
      <c r="A66" s="30" t="s">
        <v>105</v>
      </c>
      <c r="B66" s="21">
        <v>848</v>
      </c>
      <c r="C66" s="21">
        <v>1374.75</v>
      </c>
      <c r="D66" s="21">
        <v>1789.08</v>
      </c>
      <c r="E66" s="21">
        <v>2230.9</v>
      </c>
      <c r="F66" s="21">
        <v>2505.6999999999998</v>
      </c>
      <c r="G66" s="21">
        <v>2448.3000000000002</v>
      </c>
      <c r="H66" s="21">
        <v>2583.9899999999998</v>
      </c>
      <c r="I66" s="21">
        <v>2656.59</v>
      </c>
      <c r="J66" s="21">
        <v>2808.19</v>
      </c>
      <c r="K66" s="21">
        <v>3158</v>
      </c>
    </row>
    <row r="67" spans="1:11" x14ac:dyDescent="0.3">
      <c r="A67" s="29" t="s">
        <v>34</v>
      </c>
      <c r="B67" s="17">
        <v>847.1</v>
      </c>
      <c r="C67" s="17">
        <v>1375.21</v>
      </c>
      <c r="D67" s="17">
        <v>1793.2</v>
      </c>
      <c r="E67" s="17">
        <v>2273.9499999999998</v>
      </c>
      <c r="F67" s="17">
        <v>2576.1</v>
      </c>
      <c r="G67" s="17">
        <v>2498.63</v>
      </c>
      <c r="H67" s="17">
        <v>2633.56</v>
      </c>
      <c r="I67" s="17">
        <v>2705.6</v>
      </c>
      <c r="J67" s="17">
        <v>2847.73</v>
      </c>
      <c r="K67" s="17">
        <v>3176</v>
      </c>
    </row>
    <row r="68" spans="1:11" x14ac:dyDescent="0.3">
      <c r="A68" s="30" t="s">
        <v>106</v>
      </c>
      <c r="B68" s="21">
        <v>233.6</v>
      </c>
      <c r="C68" s="21">
        <v>360</v>
      </c>
      <c r="D68" s="21">
        <v>504</v>
      </c>
      <c r="E68" s="21">
        <v>651.6</v>
      </c>
      <c r="F68" s="21">
        <v>761.5</v>
      </c>
      <c r="G68" s="21">
        <v>743.41099999999994</v>
      </c>
      <c r="H68" s="21">
        <v>779.98599999999999</v>
      </c>
      <c r="I68" s="21">
        <v>669.5</v>
      </c>
      <c r="J68" s="21">
        <v>869</v>
      </c>
      <c r="K68" s="21">
        <v>921</v>
      </c>
    </row>
    <row r="69" spans="1:11" x14ac:dyDescent="0.3">
      <c r="A69" s="29" t="s">
        <v>42</v>
      </c>
      <c r="B69" s="17">
        <v>615.62199999999996</v>
      </c>
      <c r="C69" s="17">
        <v>1015.3</v>
      </c>
      <c r="D69" s="17">
        <v>1288.95</v>
      </c>
      <c r="E69" s="17">
        <v>1622.31</v>
      </c>
      <c r="F69" s="17">
        <v>1814.62</v>
      </c>
      <c r="G69" s="17">
        <v>1747.72</v>
      </c>
      <c r="H69" s="17">
        <v>1841.7</v>
      </c>
      <c r="I69" s="17">
        <v>1896.35</v>
      </c>
      <c r="J69" s="17">
        <v>2006.32</v>
      </c>
      <c r="K69" s="17">
        <v>2255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47B2-7410-46FF-B0C3-A519E679A0D3}">
  <dimension ref="A1:K87"/>
  <sheetViews>
    <sheetView workbookViewId="0">
      <selection activeCell="K44" sqref="K44"/>
    </sheetView>
  </sheetViews>
  <sheetFormatPr defaultRowHeight="15.6" x14ac:dyDescent="0.3"/>
  <cols>
    <col min="1" max="1" width="60.09765625" bestFit="1" customWidth="1"/>
  </cols>
  <sheetData>
    <row r="1" spans="1:11" x14ac:dyDescent="0.3">
      <c r="A1" s="8" t="s">
        <v>283</v>
      </c>
    </row>
    <row r="2" spans="1:11" x14ac:dyDescent="0.3">
      <c r="A2" s="9" t="s">
        <v>284</v>
      </c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5" spans="1:1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3">
      <c r="A6" s="11" t="s">
        <v>286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x14ac:dyDescent="0.3">
      <c r="A7" s="11" t="s">
        <v>15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x14ac:dyDescent="0.3">
      <c r="A8" s="11"/>
      <c r="B8" s="11" t="s">
        <v>287</v>
      </c>
      <c r="C8" s="11" t="s">
        <v>288</v>
      </c>
      <c r="D8" s="11" t="s">
        <v>289</v>
      </c>
      <c r="E8" s="11" t="s">
        <v>290</v>
      </c>
      <c r="F8" s="11" t="s">
        <v>291</v>
      </c>
      <c r="G8" s="11" t="s">
        <v>292</v>
      </c>
      <c r="H8" s="11" t="s">
        <v>293</v>
      </c>
      <c r="I8" s="11" t="s">
        <v>294</v>
      </c>
      <c r="J8" s="11" t="s">
        <v>295</v>
      </c>
      <c r="K8" s="11" t="s">
        <v>296</v>
      </c>
    </row>
    <row r="9" spans="1:11" x14ac:dyDescent="0.3">
      <c r="A9" s="12" t="s">
        <v>147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3">
      <c r="A10" s="14" t="s">
        <v>148</v>
      </c>
      <c r="B10" s="37">
        <v>501.48200000000003</v>
      </c>
      <c r="C10" s="37">
        <v>734.846</v>
      </c>
      <c r="D10" s="37">
        <v>990.50099999999998</v>
      </c>
      <c r="E10" s="37">
        <v>881.32</v>
      </c>
      <c r="F10" s="37">
        <v>1093.5050000000001</v>
      </c>
      <c r="G10" s="37">
        <v>1150.5170000000001</v>
      </c>
      <c r="H10" s="37">
        <v>1259.8710000000001</v>
      </c>
      <c r="I10" s="37">
        <v>1154.867</v>
      </c>
      <c r="J10" s="37">
        <v>2243.971</v>
      </c>
      <c r="K10" s="37">
        <v>1984.336</v>
      </c>
    </row>
    <row r="11" spans="1:11" x14ac:dyDescent="0.3">
      <c r="A11" s="16" t="s">
        <v>149</v>
      </c>
      <c r="B11" s="41">
        <v>501.48200000000003</v>
      </c>
      <c r="C11" s="41">
        <v>734.846</v>
      </c>
      <c r="D11" s="41">
        <v>990.50099999999998</v>
      </c>
      <c r="E11" s="41">
        <v>817.798</v>
      </c>
      <c r="F11" s="41">
        <v>890.14499999999998</v>
      </c>
      <c r="G11" s="41">
        <v>967.50199999999995</v>
      </c>
      <c r="H11" s="41">
        <v>941.173</v>
      </c>
      <c r="I11" s="41">
        <v>1154.8589999999999</v>
      </c>
      <c r="J11" s="41">
        <v>2243.9630000000002</v>
      </c>
      <c r="K11" s="41">
        <v>1984.328</v>
      </c>
    </row>
    <row r="12" spans="1:11" x14ac:dyDescent="0.3">
      <c r="A12" s="23" t="s">
        <v>324</v>
      </c>
      <c r="B12" s="39">
        <v>0</v>
      </c>
      <c r="C12" s="39">
        <v>0</v>
      </c>
      <c r="D12" s="39">
        <v>0</v>
      </c>
      <c r="E12" s="39">
        <v>63.521999999999998</v>
      </c>
      <c r="F12" s="39">
        <v>203.36</v>
      </c>
      <c r="G12" s="39">
        <v>183.01499999999999</v>
      </c>
      <c r="H12" s="39">
        <v>318.69799999999998</v>
      </c>
      <c r="I12" s="39">
        <v>8.0000000000000002E-3</v>
      </c>
      <c r="J12" s="39">
        <v>8.0000000000000002E-3</v>
      </c>
      <c r="K12" s="39">
        <v>8.0000000000000002E-3</v>
      </c>
    </row>
    <row r="13" spans="1:11" x14ac:dyDescent="0.3">
      <c r="A13" s="25" t="s">
        <v>150</v>
      </c>
      <c r="B13" s="42">
        <v>13.108000000000001</v>
      </c>
      <c r="C13" s="42">
        <v>9.1999999999999993</v>
      </c>
      <c r="D13" s="42">
        <v>19.172999999999998</v>
      </c>
      <c r="E13" s="42">
        <v>35.786000000000001</v>
      </c>
      <c r="F13" s="42">
        <v>40.219000000000001</v>
      </c>
      <c r="G13" s="42">
        <v>75.707999999999998</v>
      </c>
      <c r="H13" s="42">
        <v>77.001000000000005</v>
      </c>
      <c r="I13" s="42">
        <v>132.90600000000001</v>
      </c>
      <c r="J13" s="42">
        <v>124.76900000000001</v>
      </c>
      <c r="K13" s="42">
        <v>120.173</v>
      </c>
    </row>
    <row r="14" spans="1:11" x14ac:dyDescent="0.3">
      <c r="A14" s="18" t="s">
        <v>151</v>
      </c>
      <c r="B14" s="37">
        <v>13.108000000000001</v>
      </c>
      <c r="C14" s="37">
        <v>9.1999999999999993</v>
      </c>
      <c r="D14" s="37">
        <v>19.172999999999998</v>
      </c>
      <c r="E14" s="37">
        <v>35.786000000000001</v>
      </c>
      <c r="F14" s="37">
        <v>40.219000000000001</v>
      </c>
      <c r="G14" s="37">
        <v>62.399000000000001</v>
      </c>
      <c r="H14" s="37">
        <v>77.001000000000005</v>
      </c>
      <c r="I14" s="37">
        <v>132.90600000000001</v>
      </c>
      <c r="J14" s="37">
        <v>124.76900000000001</v>
      </c>
      <c r="K14" s="37">
        <v>120.173</v>
      </c>
    </row>
    <row r="15" spans="1:11" x14ac:dyDescent="0.3">
      <c r="A15" s="19" t="s">
        <v>152</v>
      </c>
      <c r="B15" s="41">
        <v>13.108000000000001</v>
      </c>
      <c r="C15" s="41">
        <v>9.1999999999999993</v>
      </c>
      <c r="D15" s="41">
        <v>19.172999999999998</v>
      </c>
      <c r="E15" s="41">
        <v>35.786000000000001</v>
      </c>
      <c r="F15" s="41">
        <v>40.219000000000001</v>
      </c>
      <c r="G15" s="41">
        <v>62.399000000000001</v>
      </c>
      <c r="H15" s="41">
        <v>77.001000000000005</v>
      </c>
      <c r="I15" s="41">
        <v>132.90600000000001</v>
      </c>
      <c r="J15" s="41">
        <v>124.76900000000001</v>
      </c>
      <c r="K15" s="41">
        <v>120.173</v>
      </c>
    </row>
    <row r="16" spans="1:11" x14ac:dyDescent="0.3">
      <c r="A16" s="23" t="s">
        <v>153</v>
      </c>
      <c r="B16" s="39">
        <v>0</v>
      </c>
      <c r="C16" s="39">
        <v>0</v>
      </c>
      <c r="D16" s="39">
        <v>0</v>
      </c>
      <c r="E16" s="39">
        <v>0</v>
      </c>
      <c r="F16" s="39">
        <v>0</v>
      </c>
      <c r="G16" s="39">
        <v>13.308999999999999</v>
      </c>
      <c r="H16" s="39">
        <v>0</v>
      </c>
      <c r="I16" s="39">
        <v>0</v>
      </c>
      <c r="J16" s="39">
        <v>0</v>
      </c>
      <c r="K16" s="39">
        <v>0</v>
      </c>
    </row>
    <row r="17" spans="1:11" x14ac:dyDescent="0.3">
      <c r="A17" s="25" t="s">
        <v>74</v>
      </c>
      <c r="B17" s="42">
        <v>284.00900000000001</v>
      </c>
      <c r="C17" s="42">
        <v>298.43200000000002</v>
      </c>
      <c r="D17" s="42">
        <v>329.56200000000001</v>
      </c>
      <c r="E17" s="42">
        <v>404.84199999999998</v>
      </c>
      <c r="F17" s="42">
        <v>518.51300000000003</v>
      </c>
      <c r="G17" s="42">
        <v>647.23</v>
      </c>
      <c r="H17" s="42">
        <v>966.48099999999999</v>
      </c>
      <c r="I17" s="42">
        <v>1447.367</v>
      </c>
      <c r="J17" s="42">
        <v>1323.6020000000001</v>
      </c>
      <c r="K17" s="42">
        <v>1442.0809999999999</v>
      </c>
    </row>
    <row r="18" spans="1:11" x14ac:dyDescent="0.3">
      <c r="A18" s="23" t="s">
        <v>154</v>
      </c>
      <c r="B18" s="39">
        <v>290.791</v>
      </c>
      <c r="C18" s="39">
        <v>306.08699999999999</v>
      </c>
      <c r="D18" s="39">
        <v>344.69499999999999</v>
      </c>
      <c r="E18" s="39">
        <v>420.93099999999998</v>
      </c>
      <c r="F18" s="39">
        <v>540.58000000000004</v>
      </c>
      <c r="G18" s="39">
        <v>678.2</v>
      </c>
      <c r="H18" s="39">
        <v>1004.526</v>
      </c>
      <c r="I18" s="39">
        <v>1571.981</v>
      </c>
      <c r="J18" s="39">
        <v>1465.076</v>
      </c>
      <c r="K18" s="39">
        <v>1526.0550000000001</v>
      </c>
    </row>
    <row r="19" spans="1:11" x14ac:dyDescent="0.3">
      <c r="A19" s="16" t="s">
        <v>325</v>
      </c>
      <c r="B19" s="38">
        <v>-6.782</v>
      </c>
      <c r="C19" s="38">
        <v>-7.6550000000000002</v>
      </c>
      <c r="D19" s="38">
        <v>-15.132999999999999</v>
      </c>
      <c r="E19" s="38">
        <v>-16.088999999999999</v>
      </c>
      <c r="F19" s="38">
        <v>-22.067</v>
      </c>
      <c r="G19" s="38">
        <v>-30.97</v>
      </c>
      <c r="H19" s="38">
        <v>-38.045000000000002</v>
      </c>
      <c r="I19" s="38">
        <v>-124.614</v>
      </c>
      <c r="J19" s="38">
        <v>-141.47399999999999</v>
      </c>
      <c r="K19" s="38">
        <v>-83.974000000000004</v>
      </c>
    </row>
    <row r="20" spans="1:11" x14ac:dyDescent="0.3">
      <c r="A20" s="14" t="s">
        <v>155</v>
      </c>
      <c r="B20" s="37">
        <v>118.44</v>
      </c>
      <c r="C20" s="37">
        <v>120.259</v>
      </c>
      <c r="D20" s="37">
        <v>97.046000000000006</v>
      </c>
      <c r="E20" s="37">
        <v>107.334</v>
      </c>
      <c r="F20" s="37">
        <v>155.70099999999999</v>
      </c>
      <c r="G20" s="37">
        <v>250.92400000000001</v>
      </c>
      <c r="H20" s="37">
        <v>311.5</v>
      </c>
      <c r="I20" s="37">
        <v>424.31299999999999</v>
      </c>
      <c r="J20" s="37">
        <v>368.23500000000001</v>
      </c>
      <c r="K20" s="37">
        <v>433.71199999999999</v>
      </c>
    </row>
    <row r="21" spans="1:11" x14ac:dyDescent="0.3">
      <c r="A21" s="16" t="s">
        <v>156</v>
      </c>
      <c r="B21" s="22"/>
      <c r="C21" s="22"/>
      <c r="D21" s="22"/>
      <c r="E21" s="22"/>
      <c r="F21" s="22"/>
      <c r="G21" s="41">
        <v>82.164000000000001</v>
      </c>
      <c r="H21" s="41">
        <v>140.94499999999999</v>
      </c>
      <c r="I21" s="41">
        <v>142.00299999999999</v>
      </c>
      <c r="J21" s="41">
        <v>137.203</v>
      </c>
      <c r="K21" s="41">
        <v>147.68</v>
      </c>
    </row>
    <row r="22" spans="1:11" x14ac:dyDescent="0.3">
      <c r="A22" s="23" t="s">
        <v>157</v>
      </c>
      <c r="B22" s="39">
        <v>118.44</v>
      </c>
      <c r="C22" s="39">
        <v>120.259</v>
      </c>
      <c r="D22" s="39">
        <v>97.046000000000006</v>
      </c>
      <c r="E22" s="39">
        <v>107.334</v>
      </c>
      <c r="F22" s="39">
        <v>155.70099999999999</v>
      </c>
      <c r="G22" s="39">
        <v>168.76</v>
      </c>
      <c r="H22" s="39">
        <v>170.55500000000001</v>
      </c>
      <c r="I22" s="39">
        <v>282.31</v>
      </c>
      <c r="J22" s="39">
        <v>231.03200000000001</v>
      </c>
      <c r="K22" s="39">
        <v>286.03199999999998</v>
      </c>
    </row>
    <row r="23" spans="1:11" x14ac:dyDescent="0.3">
      <c r="A23" s="29" t="s">
        <v>158</v>
      </c>
      <c r="B23" s="41">
        <v>917.03899999999999</v>
      </c>
      <c r="C23" s="41">
        <v>1162.7370000000001</v>
      </c>
      <c r="D23" s="41">
        <v>1436.2819999999999</v>
      </c>
      <c r="E23" s="41">
        <v>1429.2819999999999</v>
      </c>
      <c r="F23" s="41">
        <v>1807.9380000000001</v>
      </c>
      <c r="G23" s="41">
        <v>2124.3789999999999</v>
      </c>
      <c r="H23" s="41">
        <v>2614.8530000000001</v>
      </c>
      <c r="I23" s="41">
        <v>3159.453</v>
      </c>
      <c r="J23" s="41">
        <v>4060.5770000000002</v>
      </c>
      <c r="K23" s="41">
        <v>3980.3020000000001</v>
      </c>
    </row>
    <row r="24" spans="1:11" x14ac:dyDescent="0.3">
      <c r="A24" s="14" t="s">
        <v>159</v>
      </c>
      <c r="B24" s="37">
        <v>349.60500000000002</v>
      </c>
      <c r="C24" s="37">
        <v>423.49900000000002</v>
      </c>
      <c r="D24" s="37">
        <v>473.642</v>
      </c>
      <c r="E24" s="37">
        <v>567.23699999999997</v>
      </c>
      <c r="F24" s="37">
        <v>1361.357</v>
      </c>
      <c r="G24" s="37">
        <v>1480.5219999999999</v>
      </c>
      <c r="H24" s="37">
        <v>1731.2529999999999</v>
      </c>
      <c r="I24" s="37">
        <v>2239.0329999999999</v>
      </c>
      <c r="J24" s="37">
        <v>2811.4209999999998</v>
      </c>
      <c r="K24" s="37">
        <v>3196.873</v>
      </c>
    </row>
    <row r="25" spans="1:11" x14ac:dyDescent="0.3">
      <c r="A25" s="43" t="s">
        <v>160</v>
      </c>
      <c r="B25" s="42">
        <v>553.40599999999995</v>
      </c>
      <c r="C25" s="42">
        <v>701.82399999999996</v>
      </c>
      <c r="D25" s="42">
        <v>817.35</v>
      </c>
      <c r="E25" s="42">
        <v>972.48099999999999</v>
      </c>
      <c r="F25" s="42">
        <v>1883.0329999999999</v>
      </c>
      <c r="G25" s="42">
        <v>2171.1089999999999</v>
      </c>
      <c r="H25" s="42">
        <v>2560.3870000000002</v>
      </c>
      <c r="I25" s="42">
        <v>3226.3310000000001</v>
      </c>
      <c r="J25" s="42">
        <v>4028.846</v>
      </c>
      <c r="K25" s="42">
        <v>4657.9219999999996</v>
      </c>
    </row>
    <row r="26" spans="1:11" x14ac:dyDescent="0.3">
      <c r="A26" s="20" t="s">
        <v>161</v>
      </c>
      <c r="B26" s="39">
        <v>30.885000000000002</v>
      </c>
      <c r="C26" s="39">
        <v>32.173999999999999</v>
      </c>
      <c r="D26" s="39">
        <v>39.277999999999999</v>
      </c>
      <c r="E26" s="39">
        <v>38.03</v>
      </c>
      <c r="F26" s="39">
        <v>30.187000000000001</v>
      </c>
      <c r="G26" s="39">
        <v>30.87</v>
      </c>
      <c r="H26" s="39">
        <v>30.88</v>
      </c>
      <c r="I26" s="39">
        <v>28.85</v>
      </c>
      <c r="J26" s="39">
        <v>29.032</v>
      </c>
      <c r="K26" s="39">
        <v>27.655000000000001</v>
      </c>
    </row>
    <row r="27" spans="1:11" x14ac:dyDescent="0.3">
      <c r="A27" s="19" t="s">
        <v>162</v>
      </c>
      <c r="B27" s="41">
        <v>55.488</v>
      </c>
      <c r="C27" s="41">
        <v>78.561000000000007</v>
      </c>
      <c r="D27" s="41">
        <v>83.048000000000002</v>
      </c>
      <c r="E27" s="41">
        <v>78.635999999999996</v>
      </c>
      <c r="F27" s="41">
        <v>71.828999999999994</v>
      </c>
      <c r="G27" s="41">
        <v>74.260999999999996</v>
      </c>
      <c r="H27" s="41">
        <v>74.296999999999997</v>
      </c>
      <c r="I27" s="41">
        <v>80.691999999999993</v>
      </c>
      <c r="J27" s="41">
        <v>79.498000000000005</v>
      </c>
      <c r="K27" s="41">
        <v>74.460999999999999</v>
      </c>
    </row>
    <row r="28" spans="1:11" x14ac:dyDescent="0.3">
      <c r="A28" s="20" t="s">
        <v>163</v>
      </c>
      <c r="B28" s="28"/>
      <c r="C28" s="28"/>
      <c r="D28" s="39">
        <v>51.26</v>
      </c>
      <c r="E28" s="39">
        <v>74.271000000000001</v>
      </c>
      <c r="F28" s="39">
        <v>40.93</v>
      </c>
      <c r="G28" s="39">
        <v>69.846999999999994</v>
      </c>
      <c r="H28" s="39">
        <v>163.41999999999999</v>
      </c>
      <c r="I28" s="39">
        <v>244.898</v>
      </c>
      <c r="J28" s="39">
        <v>247.94300000000001</v>
      </c>
      <c r="K28" s="39">
        <v>206.398</v>
      </c>
    </row>
    <row r="29" spans="1:11" x14ac:dyDescent="0.3">
      <c r="A29" s="19" t="s">
        <v>326</v>
      </c>
      <c r="B29" s="41">
        <v>156.24600000000001</v>
      </c>
      <c r="C29" s="41">
        <v>219.10499999999999</v>
      </c>
      <c r="D29" s="41">
        <v>235.73099999999999</v>
      </c>
      <c r="E29" s="41">
        <v>300.23099999999999</v>
      </c>
      <c r="F29" s="41">
        <v>432.16699999999997</v>
      </c>
      <c r="G29" s="41">
        <v>543.55200000000002</v>
      </c>
      <c r="H29" s="41">
        <v>663.21199999999999</v>
      </c>
      <c r="I29" s="41">
        <v>909.06299999999999</v>
      </c>
      <c r="J29" s="41">
        <v>1209.164</v>
      </c>
      <c r="K29" s="41">
        <v>1476.8009999999999</v>
      </c>
    </row>
    <row r="30" spans="1:11" x14ac:dyDescent="0.3">
      <c r="A30" s="20" t="s">
        <v>327</v>
      </c>
      <c r="B30" s="39">
        <v>11.929</v>
      </c>
      <c r="C30" s="39">
        <v>13.704000000000001</v>
      </c>
      <c r="D30" s="39">
        <v>14.805999999999999</v>
      </c>
      <c r="E30" s="28"/>
      <c r="F30" s="28"/>
      <c r="G30" s="28"/>
      <c r="H30" s="28"/>
      <c r="I30" s="28"/>
      <c r="J30" s="28"/>
      <c r="K30" s="28"/>
    </row>
    <row r="31" spans="1:11" x14ac:dyDescent="0.3">
      <c r="A31" s="19" t="s">
        <v>164</v>
      </c>
      <c r="B31" s="41">
        <v>298.858</v>
      </c>
      <c r="C31" s="41">
        <v>358.28</v>
      </c>
      <c r="D31" s="41">
        <v>393.22699999999998</v>
      </c>
      <c r="E31" s="41">
        <v>481.31299999999999</v>
      </c>
      <c r="F31" s="41">
        <v>618.25599999999997</v>
      </c>
      <c r="G31" s="41">
        <v>717.74400000000003</v>
      </c>
      <c r="H31" s="41">
        <v>825.03499999999997</v>
      </c>
      <c r="I31" s="41">
        <v>993.40899999999999</v>
      </c>
      <c r="J31" s="41">
        <v>1197.5989999999999</v>
      </c>
      <c r="K31" s="41">
        <v>1456.3510000000001</v>
      </c>
    </row>
    <row r="32" spans="1:11" x14ac:dyDescent="0.3">
      <c r="A32" s="20" t="s">
        <v>165</v>
      </c>
      <c r="B32" s="28"/>
      <c r="C32" s="28"/>
      <c r="D32" s="28"/>
      <c r="E32" s="28"/>
      <c r="F32" s="39">
        <v>689.66399999999999</v>
      </c>
      <c r="G32" s="39">
        <v>734.83500000000004</v>
      </c>
      <c r="H32" s="39">
        <v>803.54300000000001</v>
      </c>
      <c r="I32" s="39">
        <v>969.41899999999998</v>
      </c>
      <c r="J32" s="39">
        <v>1265.6099999999999</v>
      </c>
      <c r="K32" s="39">
        <v>1416.2560000000001</v>
      </c>
    </row>
    <row r="33" spans="1:11" x14ac:dyDescent="0.3">
      <c r="A33" s="16" t="s">
        <v>166</v>
      </c>
      <c r="B33" s="41">
        <v>203.80099999999999</v>
      </c>
      <c r="C33" s="41">
        <v>278.32499999999999</v>
      </c>
      <c r="D33" s="41">
        <v>343.70800000000003</v>
      </c>
      <c r="E33" s="41">
        <v>405.24400000000003</v>
      </c>
      <c r="F33" s="41">
        <v>521.67600000000004</v>
      </c>
      <c r="G33" s="41">
        <v>690.58699999999999</v>
      </c>
      <c r="H33" s="41">
        <v>829.13400000000001</v>
      </c>
      <c r="I33" s="41">
        <v>987.298</v>
      </c>
      <c r="J33" s="41">
        <v>1217.425</v>
      </c>
      <c r="K33" s="41">
        <v>1461.049</v>
      </c>
    </row>
    <row r="34" spans="1:11" x14ac:dyDescent="0.3">
      <c r="A34" s="14" t="s">
        <v>167</v>
      </c>
      <c r="B34" s="37">
        <v>24.777000000000001</v>
      </c>
      <c r="C34" s="37">
        <v>24.556999999999999</v>
      </c>
      <c r="D34" s="37">
        <v>24.678999999999998</v>
      </c>
      <c r="E34" s="37">
        <v>24.239000000000001</v>
      </c>
      <c r="F34" s="37">
        <v>24.422999999999998</v>
      </c>
      <c r="G34" s="37">
        <v>466.95699999999999</v>
      </c>
      <c r="H34" s="37">
        <v>458.17899999999997</v>
      </c>
      <c r="I34" s="37">
        <v>46.104999999999997</v>
      </c>
      <c r="J34" s="37">
        <v>24.082999999999998</v>
      </c>
      <c r="K34" s="37">
        <v>171.191</v>
      </c>
    </row>
    <row r="35" spans="1:11" x14ac:dyDescent="0.3">
      <c r="A35" s="16" t="s">
        <v>31</v>
      </c>
      <c r="B35" s="41">
        <v>23.83</v>
      </c>
      <c r="C35" s="41">
        <v>24.233000000000001</v>
      </c>
      <c r="D35" s="41">
        <v>24.606000000000002</v>
      </c>
      <c r="E35" s="41">
        <v>24.239000000000001</v>
      </c>
      <c r="F35" s="41">
        <v>24.422999999999998</v>
      </c>
      <c r="G35" s="41">
        <v>386.87700000000001</v>
      </c>
      <c r="H35" s="41">
        <v>386.88</v>
      </c>
      <c r="I35" s="41">
        <v>24.143999999999998</v>
      </c>
      <c r="J35" s="41">
        <v>24.082999999999998</v>
      </c>
      <c r="K35" s="41">
        <v>159.518</v>
      </c>
    </row>
    <row r="36" spans="1:11" x14ac:dyDescent="0.3">
      <c r="A36" s="23" t="s">
        <v>168</v>
      </c>
      <c r="B36" s="39">
        <v>0.94699999999999995</v>
      </c>
      <c r="C36" s="39">
        <v>0.32400000000000001</v>
      </c>
      <c r="D36" s="39">
        <v>7.2999999999999995E-2</v>
      </c>
      <c r="E36" s="39">
        <v>0</v>
      </c>
      <c r="F36" s="39">
        <v>0</v>
      </c>
      <c r="G36" s="39">
        <v>80.08</v>
      </c>
      <c r="H36" s="39">
        <v>71.299000000000007</v>
      </c>
      <c r="I36" s="39">
        <v>21.960999999999999</v>
      </c>
      <c r="J36" s="39">
        <v>0</v>
      </c>
      <c r="K36" s="39">
        <v>11.673</v>
      </c>
    </row>
    <row r="37" spans="1:11" x14ac:dyDescent="0.3">
      <c r="A37" s="29" t="s">
        <v>328</v>
      </c>
      <c r="B37" s="41">
        <v>11.802</v>
      </c>
      <c r="C37" s="41">
        <v>26.256</v>
      </c>
      <c r="D37" s="41">
        <v>32.491</v>
      </c>
      <c r="E37" s="41">
        <v>26.548999999999999</v>
      </c>
      <c r="F37" s="41">
        <v>31.434999999999999</v>
      </c>
      <c r="G37" s="41">
        <v>6.7309999999999999</v>
      </c>
      <c r="H37" s="41">
        <v>6.0910000000000002</v>
      </c>
      <c r="I37" s="41">
        <v>6.4020000000000001</v>
      </c>
      <c r="J37" s="41">
        <v>9.1760000000000002</v>
      </c>
      <c r="K37" s="41">
        <v>17.085000000000001</v>
      </c>
    </row>
    <row r="38" spans="1:11" x14ac:dyDescent="0.3">
      <c r="A38" s="14" t="s">
        <v>169</v>
      </c>
      <c r="B38" s="37">
        <v>10.853999999999999</v>
      </c>
      <c r="C38" s="37">
        <v>20.492000000000001</v>
      </c>
      <c r="D38" s="37">
        <v>31.388999999999999</v>
      </c>
      <c r="E38" s="37">
        <v>37.404000000000003</v>
      </c>
      <c r="F38" s="37">
        <v>56.201000000000001</v>
      </c>
      <c r="G38" s="37">
        <v>106.626</v>
      </c>
      <c r="H38" s="37">
        <v>132.102</v>
      </c>
      <c r="I38" s="37">
        <v>156.04499999999999</v>
      </c>
      <c r="J38" s="37">
        <v>186.684</v>
      </c>
      <c r="K38" s="37">
        <v>237.84100000000001</v>
      </c>
    </row>
    <row r="39" spans="1:11" x14ac:dyDescent="0.3">
      <c r="A39" s="16" t="s">
        <v>170</v>
      </c>
      <c r="B39" s="22"/>
      <c r="C39" s="22"/>
      <c r="D39" s="22"/>
      <c r="E39" s="22"/>
      <c r="F39" s="41">
        <v>0</v>
      </c>
      <c r="G39" s="22"/>
      <c r="H39" s="41">
        <v>89.334000000000003</v>
      </c>
      <c r="I39" s="41">
        <v>114.7</v>
      </c>
      <c r="J39" s="41">
        <v>133.59700000000001</v>
      </c>
      <c r="K39" s="41">
        <v>161.75899999999999</v>
      </c>
    </row>
    <row r="40" spans="1:11" x14ac:dyDescent="0.3">
      <c r="A40" s="23" t="s">
        <v>171</v>
      </c>
      <c r="B40" s="39">
        <v>10.853999999999999</v>
      </c>
      <c r="C40" s="39">
        <v>20.492000000000001</v>
      </c>
      <c r="D40" s="39">
        <v>31.388999999999999</v>
      </c>
      <c r="E40" s="39">
        <v>37.404000000000003</v>
      </c>
      <c r="F40" s="39">
        <v>56.201000000000001</v>
      </c>
      <c r="G40" s="39">
        <v>106.626</v>
      </c>
      <c r="H40" s="39">
        <v>42.768000000000001</v>
      </c>
      <c r="I40" s="39">
        <v>41.344999999999999</v>
      </c>
      <c r="J40" s="39">
        <v>53.087000000000003</v>
      </c>
      <c r="K40" s="39">
        <v>76.081999999999994</v>
      </c>
    </row>
    <row r="41" spans="1:11" x14ac:dyDescent="0.3">
      <c r="A41" s="29" t="s">
        <v>172</v>
      </c>
      <c r="B41" s="41">
        <v>1314.077</v>
      </c>
      <c r="C41" s="41">
        <v>1657.5409999999999</v>
      </c>
      <c r="D41" s="41">
        <v>1998.4829999999999</v>
      </c>
      <c r="E41" s="41">
        <v>2084.7109999999998</v>
      </c>
      <c r="F41" s="41">
        <v>3281.3539999999998</v>
      </c>
      <c r="G41" s="41">
        <v>4185.2150000000001</v>
      </c>
      <c r="H41" s="41">
        <v>4942.4780000000001</v>
      </c>
      <c r="I41" s="41">
        <v>5607.0379999999996</v>
      </c>
      <c r="J41" s="41">
        <v>7091.9409999999998</v>
      </c>
      <c r="K41" s="41">
        <v>7603.2920000000004</v>
      </c>
    </row>
    <row r="42" spans="1:11" x14ac:dyDescent="0.3">
      <c r="A42" s="26" t="s">
        <v>173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1:11" x14ac:dyDescent="0.3">
      <c r="A43" s="25" t="s">
        <v>174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x14ac:dyDescent="0.3">
      <c r="A44" s="23" t="s">
        <v>175</v>
      </c>
      <c r="B44" s="39">
        <v>0</v>
      </c>
      <c r="C44" s="39">
        <v>0</v>
      </c>
      <c r="D44" s="39">
        <v>0</v>
      </c>
      <c r="E44" s="39">
        <v>0</v>
      </c>
      <c r="F44" s="39">
        <v>128.49700000000001</v>
      </c>
      <c r="G44" s="39">
        <v>166.09100000000001</v>
      </c>
      <c r="H44" s="39">
        <v>188.99600000000001</v>
      </c>
      <c r="I44" s="39">
        <v>207.97200000000001</v>
      </c>
      <c r="J44" s="39">
        <v>249.27</v>
      </c>
      <c r="K44" s="39">
        <v>275.154</v>
      </c>
    </row>
    <row r="45" spans="1:11" x14ac:dyDescent="0.3">
      <c r="A45" s="16" t="s">
        <v>75</v>
      </c>
      <c r="B45" s="41">
        <v>10.381</v>
      </c>
      <c r="C45" s="41">
        <v>24.846</v>
      </c>
      <c r="D45" s="41">
        <v>24.646000000000001</v>
      </c>
      <c r="E45" s="41">
        <v>95.533000000000001</v>
      </c>
      <c r="F45" s="41">
        <v>79.997</v>
      </c>
      <c r="G45" s="41">
        <v>172.24600000000001</v>
      </c>
      <c r="H45" s="41">
        <v>289.72800000000001</v>
      </c>
      <c r="I45" s="41">
        <v>172.732</v>
      </c>
      <c r="J45" s="41">
        <v>348.44099999999997</v>
      </c>
      <c r="K45" s="41">
        <v>271.40600000000001</v>
      </c>
    </row>
    <row r="46" spans="1:11" x14ac:dyDescent="0.3">
      <c r="A46" s="23" t="s">
        <v>176</v>
      </c>
      <c r="B46" s="39">
        <v>37.735999999999997</v>
      </c>
      <c r="C46" s="39">
        <v>30.29</v>
      </c>
      <c r="D46" s="39">
        <v>15.7</v>
      </c>
      <c r="E46" s="39">
        <v>67.412000000000006</v>
      </c>
      <c r="F46" s="39">
        <v>26.436</v>
      </c>
      <c r="G46" s="39">
        <v>8.3569999999999993</v>
      </c>
      <c r="H46" s="39">
        <v>133.852</v>
      </c>
      <c r="I46" s="39">
        <v>174.221</v>
      </c>
      <c r="J46" s="39">
        <v>12.098000000000001</v>
      </c>
      <c r="K46" s="39">
        <v>183.126</v>
      </c>
    </row>
    <row r="47" spans="1:11" x14ac:dyDescent="0.3">
      <c r="A47" s="43" t="s">
        <v>177</v>
      </c>
      <c r="B47" s="42">
        <v>177.387</v>
      </c>
      <c r="C47" s="42">
        <v>186.31299999999999</v>
      </c>
      <c r="D47" s="42">
        <v>252.25200000000001</v>
      </c>
      <c r="E47" s="42">
        <v>337.53199999999998</v>
      </c>
      <c r="F47" s="42">
        <v>385.488</v>
      </c>
      <c r="G47" s="42">
        <v>536.48400000000004</v>
      </c>
      <c r="H47" s="42">
        <v>792.75800000000004</v>
      </c>
      <c r="I47" s="42">
        <v>937.27300000000002</v>
      </c>
      <c r="J47" s="42">
        <v>1021.452</v>
      </c>
      <c r="K47" s="42">
        <v>1109.944</v>
      </c>
    </row>
    <row r="48" spans="1:11" x14ac:dyDescent="0.3">
      <c r="A48" s="20" t="s">
        <v>178</v>
      </c>
      <c r="B48" s="39">
        <v>43.524000000000001</v>
      </c>
      <c r="C48" s="39">
        <v>55.238</v>
      </c>
      <c r="D48" s="39">
        <v>70.141000000000005</v>
      </c>
      <c r="E48" s="39">
        <v>109.181</v>
      </c>
      <c r="F48" s="39">
        <v>133.68799999999999</v>
      </c>
      <c r="G48" s="39">
        <v>130.17099999999999</v>
      </c>
      <c r="H48" s="39">
        <v>204.92099999999999</v>
      </c>
      <c r="I48" s="39">
        <v>248.167</v>
      </c>
      <c r="J48" s="39">
        <v>326.11</v>
      </c>
      <c r="K48" s="39">
        <v>204.54300000000001</v>
      </c>
    </row>
    <row r="49" spans="1:11" x14ac:dyDescent="0.3">
      <c r="A49" s="19" t="s">
        <v>179</v>
      </c>
      <c r="B49" s="41">
        <v>133.863</v>
      </c>
      <c r="C49" s="41">
        <v>131.07499999999999</v>
      </c>
      <c r="D49" s="41">
        <v>182.11099999999999</v>
      </c>
      <c r="E49" s="41">
        <v>228.351</v>
      </c>
      <c r="F49" s="41">
        <v>251.8</v>
      </c>
      <c r="G49" s="41">
        <v>406.31299999999999</v>
      </c>
      <c r="H49" s="41">
        <v>587.83699999999999</v>
      </c>
      <c r="I49" s="41">
        <v>689.10599999999999</v>
      </c>
      <c r="J49" s="41">
        <v>695.34199999999998</v>
      </c>
      <c r="K49" s="41">
        <v>905.40099999999995</v>
      </c>
    </row>
    <row r="50" spans="1:11" x14ac:dyDescent="0.3">
      <c r="A50" s="23" t="s">
        <v>180</v>
      </c>
      <c r="B50" s="39">
        <v>225.50399999999999</v>
      </c>
      <c r="C50" s="39">
        <v>241.44900000000001</v>
      </c>
      <c r="D50" s="39">
        <v>292.59800000000001</v>
      </c>
      <c r="E50" s="39">
        <v>500.47699999999998</v>
      </c>
      <c r="F50" s="39">
        <v>620.41800000000001</v>
      </c>
      <c r="G50" s="39">
        <v>883.178</v>
      </c>
      <c r="H50" s="39">
        <v>1405.3340000000001</v>
      </c>
      <c r="I50" s="39">
        <v>1492.1980000000001</v>
      </c>
      <c r="J50" s="39">
        <v>1631.261</v>
      </c>
      <c r="K50" s="39">
        <v>1839.63</v>
      </c>
    </row>
    <row r="51" spans="1:11" x14ac:dyDescent="0.3">
      <c r="A51" s="25" t="s">
        <v>181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x14ac:dyDescent="0.3">
      <c r="A52" s="18" t="s">
        <v>182</v>
      </c>
      <c r="B52" s="37">
        <v>0</v>
      </c>
      <c r="C52" s="37">
        <v>0</v>
      </c>
      <c r="D52" s="37">
        <v>0</v>
      </c>
      <c r="E52" s="37">
        <v>0</v>
      </c>
      <c r="F52" s="37">
        <v>611.46400000000006</v>
      </c>
      <c r="G52" s="37">
        <v>632.59</v>
      </c>
      <c r="H52" s="37">
        <v>692.05600000000004</v>
      </c>
      <c r="I52" s="37">
        <v>862.36199999999997</v>
      </c>
      <c r="J52" s="37">
        <v>1154.0119999999999</v>
      </c>
      <c r="K52" s="37">
        <v>1300.6369999999999</v>
      </c>
    </row>
    <row r="53" spans="1:11" x14ac:dyDescent="0.3">
      <c r="A53" s="19" t="s">
        <v>183</v>
      </c>
      <c r="B53" s="41">
        <v>0</v>
      </c>
      <c r="C53" s="41">
        <v>0</v>
      </c>
      <c r="D53" s="41">
        <v>0</v>
      </c>
      <c r="E53" s="41">
        <v>0</v>
      </c>
      <c r="F53" s="41">
        <v>611.46400000000006</v>
      </c>
      <c r="G53" s="41">
        <v>632.59</v>
      </c>
      <c r="H53" s="41">
        <v>692.05600000000004</v>
      </c>
      <c r="I53" s="41">
        <v>862.36199999999997</v>
      </c>
      <c r="J53" s="41">
        <v>1154.0119999999999</v>
      </c>
      <c r="K53" s="41">
        <v>1300.6369999999999</v>
      </c>
    </row>
    <row r="54" spans="1:11" x14ac:dyDescent="0.3">
      <c r="A54" s="23" t="s">
        <v>184</v>
      </c>
      <c r="B54" s="39">
        <v>10.759</v>
      </c>
      <c r="C54" s="39">
        <v>7.2619999999999996</v>
      </c>
      <c r="D54" s="39">
        <v>1.3360000000000001</v>
      </c>
      <c r="E54" s="39">
        <v>14.249000000000001</v>
      </c>
      <c r="F54" s="39">
        <v>43.432000000000002</v>
      </c>
      <c r="G54" s="39">
        <v>58.755000000000003</v>
      </c>
      <c r="H54" s="39">
        <v>53.351999999999997</v>
      </c>
      <c r="I54" s="39">
        <v>55.084000000000003</v>
      </c>
      <c r="J54" s="39">
        <v>29.521999999999998</v>
      </c>
      <c r="K54" s="39">
        <v>98.188000000000002</v>
      </c>
    </row>
    <row r="55" spans="1:11" x14ac:dyDescent="0.3">
      <c r="A55" s="43" t="s">
        <v>185</v>
      </c>
      <c r="B55" s="42">
        <v>50.332000000000001</v>
      </c>
      <c r="C55" s="42">
        <v>48.856999999999999</v>
      </c>
      <c r="D55" s="42">
        <v>107.589</v>
      </c>
      <c r="E55" s="42">
        <v>124.01</v>
      </c>
      <c r="F55" s="42">
        <v>53.822000000000003</v>
      </c>
      <c r="G55" s="42">
        <v>52.125999999999998</v>
      </c>
      <c r="H55" s="42">
        <v>51.69</v>
      </c>
      <c r="I55" s="42">
        <v>48.594999999999999</v>
      </c>
      <c r="J55" s="42">
        <v>45.064999999999998</v>
      </c>
      <c r="K55" s="42">
        <v>40.79</v>
      </c>
    </row>
    <row r="56" spans="1:11" x14ac:dyDescent="0.3">
      <c r="A56" s="20" t="s">
        <v>186</v>
      </c>
      <c r="B56" s="39">
        <v>50.332000000000001</v>
      </c>
      <c r="C56" s="39">
        <v>48.856999999999999</v>
      </c>
      <c r="D56" s="39">
        <v>107.589</v>
      </c>
      <c r="E56" s="39">
        <v>124.01</v>
      </c>
      <c r="F56" s="39">
        <v>53.822000000000003</v>
      </c>
      <c r="G56" s="39">
        <v>52.125999999999998</v>
      </c>
      <c r="H56" s="39">
        <v>51.69</v>
      </c>
      <c r="I56" s="39">
        <v>48.594999999999999</v>
      </c>
      <c r="J56" s="39">
        <v>45.064999999999998</v>
      </c>
      <c r="K56" s="39">
        <v>40.79</v>
      </c>
    </row>
    <row r="57" spans="1:11" x14ac:dyDescent="0.3">
      <c r="A57" s="16" t="s">
        <v>187</v>
      </c>
      <c r="B57" s="41">
        <v>286.59500000000003</v>
      </c>
      <c r="C57" s="41">
        <v>297.56799999999998</v>
      </c>
      <c r="D57" s="41">
        <v>401.52300000000002</v>
      </c>
      <c r="E57" s="41">
        <v>638.73599999999999</v>
      </c>
      <c r="F57" s="41">
        <v>1329.136</v>
      </c>
      <c r="G57" s="41">
        <v>1626.6489999999999</v>
      </c>
      <c r="H57" s="41">
        <v>2202.4319999999998</v>
      </c>
      <c r="I57" s="41">
        <v>2458.239</v>
      </c>
      <c r="J57" s="41">
        <v>2859.86</v>
      </c>
      <c r="K57" s="41">
        <v>3279.2449999999999</v>
      </c>
    </row>
    <row r="58" spans="1:11" x14ac:dyDescent="0.3">
      <c r="A58" s="14" t="s">
        <v>188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x14ac:dyDescent="0.3">
      <c r="A59" s="43" t="s">
        <v>189</v>
      </c>
      <c r="B59" s="13">
        <v>1027.482</v>
      </c>
      <c r="C59" s="13">
        <v>1359.973</v>
      </c>
      <c r="D59" s="13">
        <v>1596.96</v>
      </c>
      <c r="E59" s="13">
        <v>1445.9749999999999</v>
      </c>
      <c r="F59" s="13">
        <v>1952.2180000000001</v>
      </c>
      <c r="G59" s="13">
        <v>2558.5659999999998</v>
      </c>
      <c r="H59" s="13">
        <v>2740.0459999999998</v>
      </c>
      <c r="I59" s="13">
        <v>3148.799</v>
      </c>
      <c r="J59" s="13">
        <v>4232.0810000000001</v>
      </c>
      <c r="K59" s="13">
        <v>4324.0469999999996</v>
      </c>
    </row>
    <row r="60" spans="1:11" x14ac:dyDescent="0.3">
      <c r="A60" s="20" t="s">
        <v>190</v>
      </c>
      <c r="B60" s="21">
        <v>0.63700000000000001</v>
      </c>
      <c r="C60" s="21">
        <v>0.63700000000000001</v>
      </c>
      <c r="D60" s="21">
        <v>0.628</v>
      </c>
      <c r="E60" s="21">
        <v>0.60799999999999998</v>
      </c>
      <c r="F60" s="21">
        <v>0.621</v>
      </c>
      <c r="G60" s="21">
        <v>0.626</v>
      </c>
      <c r="H60" s="21">
        <v>0.61599999999999999</v>
      </c>
      <c r="I60" s="21">
        <v>0.61099999999999999</v>
      </c>
      <c r="J60" s="21">
        <v>0.60599999999999998</v>
      </c>
      <c r="K60" s="21">
        <v>0.58099999999999996</v>
      </c>
    </row>
    <row r="61" spans="1:11" x14ac:dyDescent="0.3">
      <c r="A61" s="19" t="s">
        <v>191</v>
      </c>
      <c r="B61" s="17">
        <v>245.53299999999999</v>
      </c>
      <c r="C61" s="17">
        <v>266.62200000000001</v>
      </c>
      <c r="D61" s="17">
        <v>284.25299999999999</v>
      </c>
      <c r="E61" s="17">
        <v>315.28500000000003</v>
      </c>
      <c r="F61" s="17">
        <v>355.541</v>
      </c>
      <c r="G61" s="17">
        <v>388.66699999999997</v>
      </c>
      <c r="H61" s="17">
        <v>422.50700000000001</v>
      </c>
      <c r="I61" s="17">
        <v>474.64499999999998</v>
      </c>
      <c r="J61" s="17">
        <v>575.36900000000003</v>
      </c>
      <c r="K61" s="17">
        <v>638.19000000000005</v>
      </c>
    </row>
    <row r="62" spans="1:11" x14ac:dyDescent="0.3">
      <c r="A62" s="20" t="s">
        <v>192</v>
      </c>
      <c r="B62" s="21">
        <v>1019.515</v>
      </c>
      <c r="C62" s="21">
        <v>1294.2139999999999</v>
      </c>
      <c r="D62" s="21">
        <v>1455.002</v>
      </c>
      <c r="E62" s="21">
        <v>1346.89</v>
      </c>
      <c r="F62" s="21">
        <v>1820.6369999999999</v>
      </c>
      <c r="G62" s="21">
        <v>2346.4279999999999</v>
      </c>
      <c r="H62" s="21">
        <v>2512.84</v>
      </c>
      <c r="I62" s="21">
        <v>2926.127</v>
      </c>
      <c r="J62" s="21">
        <v>3920.3620000000001</v>
      </c>
      <c r="K62" s="21">
        <v>4109.7169999999996</v>
      </c>
    </row>
    <row r="63" spans="1:11" x14ac:dyDescent="0.3">
      <c r="A63" s="19" t="s">
        <v>193</v>
      </c>
      <c r="B63" s="27">
        <v>-238.203</v>
      </c>
      <c r="C63" s="27">
        <v>-201.5</v>
      </c>
      <c r="D63" s="27">
        <v>-142.923</v>
      </c>
      <c r="E63" s="27">
        <v>-216.80799999999999</v>
      </c>
      <c r="F63" s="27">
        <v>-224.58099999999999</v>
      </c>
      <c r="G63" s="27">
        <v>-177.155</v>
      </c>
      <c r="H63" s="27">
        <v>-195.917</v>
      </c>
      <c r="I63" s="27">
        <v>-252.584</v>
      </c>
      <c r="J63" s="27">
        <v>-264.25599999999997</v>
      </c>
      <c r="K63" s="22"/>
    </row>
    <row r="64" spans="1:11" x14ac:dyDescent="0.3">
      <c r="A64" s="20" t="s">
        <v>194</v>
      </c>
      <c r="B64" s="21">
        <v>0</v>
      </c>
      <c r="C64" s="21">
        <v>0</v>
      </c>
      <c r="D64" s="28"/>
      <c r="E64" s="28"/>
      <c r="F64" s="28"/>
      <c r="G64" s="28"/>
      <c r="H64" s="28"/>
      <c r="I64" s="28"/>
      <c r="J64" s="28"/>
      <c r="K64" s="24">
        <v>-424.44099999999997</v>
      </c>
    </row>
    <row r="65" spans="1:11" x14ac:dyDescent="0.3">
      <c r="A65" s="16" t="s">
        <v>195</v>
      </c>
      <c r="B65" s="17">
        <v>1027.482</v>
      </c>
      <c r="C65" s="17">
        <v>1359.973</v>
      </c>
      <c r="D65" s="17">
        <v>1596.96</v>
      </c>
      <c r="E65" s="17">
        <v>1445.9749999999999</v>
      </c>
      <c r="F65" s="17">
        <v>1952.2180000000001</v>
      </c>
      <c r="G65" s="17">
        <v>2558.5659999999998</v>
      </c>
      <c r="H65" s="17">
        <v>2740.0459999999998</v>
      </c>
      <c r="I65" s="17">
        <v>3148.799</v>
      </c>
      <c r="J65" s="17">
        <v>4232.0810000000001</v>
      </c>
      <c r="K65" s="17">
        <v>4324.0469999999996</v>
      </c>
    </row>
    <row r="66" spans="1:11" x14ac:dyDescent="0.3">
      <c r="A66" s="23" t="s">
        <v>196</v>
      </c>
      <c r="B66" s="21">
        <v>1027.482</v>
      </c>
      <c r="C66" s="21">
        <v>1359.973</v>
      </c>
      <c r="D66" s="21">
        <v>1596.96</v>
      </c>
      <c r="E66" s="21">
        <v>1445.9749999999999</v>
      </c>
      <c r="F66" s="21">
        <v>1952.2180000000001</v>
      </c>
      <c r="G66" s="21">
        <v>2558.5659999999998</v>
      </c>
      <c r="H66" s="21">
        <v>2740.0459999999998</v>
      </c>
      <c r="I66" s="21">
        <v>3148.799</v>
      </c>
      <c r="J66" s="21">
        <v>4232.0810000000001</v>
      </c>
      <c r="K66" s="21">
        <v>4324.0469999999996</v>
      </c>
    </row>
    <row r="67" spans="1:11" x14ac:dyDescent="0.3">
      <c r="A67" s="29" t="s">
        <v>197</v>
      </c>
      <c r="B67" s="17">
        <v>1314.077</v>
      </c>
      <c r="C67" s="17">
        <v>1657.5409999999999</v>
      </c>
      <c r="D67" s="17">
        <v>1998.4829999999999</v>
      </c>
      <c r="E67" s="17">
        <v>2084.7109999999998</v>
      </c>
      <c r="F67" s="17">
        <v>3281.3539999999998</v>
      </c>
      <c r="G67" s="17">
        <v>4185.2150000000001</v>
      </c>
      <c r="H67" s="17">
        <v>4942.4780000000001</v>
      </c>
      <c r="I67" s="17">
        <v>5607.0379999999996</v>
      </c>
      <c r="J67" s="17">
        <v>7091.9409999999998</v>
      </c>
      <c r="K67" s="17">
        <v>7603.2920000000004</v>
      </c>
    </row>
    <row r="68" spans="1:11" x14ac:dyDescent="0.3">
      <c r="A68" s="26" t="s">
        <v>44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spans="1:11" x14ac:dyDescent="0.3">
      <c r="A69" s="29" t="s">
        <v>198</v>
      </c>
      <c r="B69" s="33">
        <v>7.4842399999999998</v>
      </c>
      <c r="C69" s="33">
        <v>9.9206599999999998</v>
      </c>
      <c r="D69" s="33">
        <v>11.791689999999999</v>
      </c>
      <c r="E69" s="33">
        <v>11.043710000000001</v>
      </c>
      <c r="F69" s="33">
        <v>14.976850000000001</v>
      </c>
      <c r="G69" s="33">
        <v>19.627980000000001</v>
      </c>
      <c r="H69" s="33">
        <v>21.323319999999999</v>
      </c>
      <c r="I69" s="33">
        <v>24.731179999999998</v>
      </c>
      <c r="J69" s="33">
        <v>33.528869999999998</v>
      </c>
      <c r="K69" s="33">
        <v>35.652830000000002</v>
      </c>
    </row>
    <row r="70" spans="1:11" x14ac:dyDescent="0.3">
      <c r="A70" s="30" t="s">
        <v>199</v>
      </c>
      <c r="B70" s="31">
        <v>7.3037669999999997</v>
      </c>
      <c r="C70" s="31">
        <v>9.7415179999999992</v>
      </c>
      <c r="D70" s="31">
        <v>11.609462000000001</v>
      </c>
      <c r="E70" s="31">
        <v>10.858582999999999</v>
      </c>
      <c r="F70" s="31">
        <v>14.789488</v>
      </c>
      <c r="G70" s="31">
        <v>16.045729999999999</v>
      </c>
      <c r="H70" s="31">
        <v>17.757719999999999</v>
      </c>
      <c r="I70" s="31">
        <v>24.369067000000001</v>
      </c>
      <c r="J70" s="31">
        <v>33.338070999999999</v>
      </c>
      <c r="K70" s="31">
        <v>34.241321999999997</v>
      </c>
    </row>
    <row r="71" spans="1:11" x14ac:dyDescent="0.3">
      <c r="A71" s="35" t="s">
        <v>53</v>
      </c>
    </row>
    <row r="73" spans="1:11" x14ac:dyDescent="0.3">
      <c r="A73" s="8" t="s">
        <v>303</v>
      </c>
    </row>
    <row r="74" spans="1:11" x14ac:dyDescent="0.3">
      <c r="A74" t="s">
        <v>314</v>
      </c>
    </row>
    <row r="75" spans="1:11" x14ac:dyDescent="0.3">
      <c r="A75" s="46"/>
      <c r="B75" s="46" t="s">
        <v>304</v>
      </c>
      <c r="C75" s="46" t="s">
        <v>305</v>
      </c>
      <c r="D75" s="46" t="s">
        <v>306</v>
      </c>
      <c r="E75" s="46" t="s">
        <v>307</v>
      </c>
      <c r="F75" s="46" t="s">
        <v>308</v>
      </c>
      <c r="G75" s="46" t="s">
        <v>309</v>
      </c>
      <c r="H75" s="46" t="s">
        <v>310</v>
      </c>
      <c r="I75" s="46" t="s">
        <v>311</v>
      </c>
      <c r="J75" s="46" t="s">
        <v>312</v>
      </c>
      <c r="K75" s="46" t="s">
        <v>313</v>
      </c>
    </row>
    <row r="76" spans="1:11" x14ac:dyDescent="0.3">
      <c r="A76" s="30" t="s">
        <v>315</v>
      </c>
      <c r="B76" s="21">
        <v>2124.4</v>
      </c>
      <c r="C76" s="21">
        <v>2615</v>
      </c>
      <c r="D76" s="21">
        <v>3159</v>
      </c>
      <c r="E76" s="21">
        <v>4061</v>
      </c>
      <c r="F76" s="21">
        <v>3980</v>
      </c>
      <c r="G76" s="21">
        <v>4440.7</v>
      </c>
      <c r="H76" s="21">
        <v>5210.49</v>
      </c>
      <c r="I76" s="21">
        <v>4887</v>
      </c>
      <c r="J76" s="21">
        <v>5163</v>
      </c>
      <c r="K76" s="21">
        <v>5632</v>
      </c>
    </row>
    <row r="77" spans="1:11" x14ac:dyDescent="0.3">
      <c r="A77" s="29" t="s">
        <v>316</v>
      </c>
      <c r="B77" s="17">
        <v>883.2</v>
      </c>
      <c r="C77" s="17">
        <v>1405</v>
      </c>
      <c r="D77" s="17">
        <v>1492</v>
      </c>
      <c r="E77" s="17">
        <v>1631</v>
      </c>
      <c r="F77" s="17">
        <v>1840</v>
      </c>
      <c r="G77" s="17">
        <v>1879.5</v>
      </c>
      <c r="H77" s="17">
        <v>1949.67</v>
      </c>
      <c r="I77" s="17">
        <v>1697</v>
      </c>
      <c r="J77" s="17">
        <v>1656</v>
      </c>
      <c r="K77" s="17">
        <v>1774</v>
      </c>
    </row>
    <row r="78" spans="1:11" x14ac:dyDescent="0.3">
      <c r="A78" s="30" t="s">
        <v>172</v>
      </c>
      <c r="B78" s="21">
        <v>4185.2</v>
      </c>
      <c r="C78" s="21">
        <v>4942</v>
      </c>
      <c r="D78" s="21">
        <v>5607</v>
      </c>
      <c r="E78" s="21">
        <v>7091.97</v>
      </c>
      <c r="F78" s="21">
        <v>7603</v>
      </c>
      <c r="G78" s="21">
        <v>8471.7199999999993</v>
      </c>
      <c r="H78" s="21">
        <v>9505.85</v>
      </c>
      <c r="I78" s="21">
        <v>9518</v>
      </c>
      <c r="J78" s="21">
        <v>10010</v>
      </c>
      <c r="K78" s="21">
        <v>10660</v>
      </c>
    </row>
    <row r="79" spans="1:11" x14ac:dyDescent="0.3">
      <c r="A79" s="29" t="s">
        <v>317</v>
      </c>
      <c r="B79" s="22" t="s">
        <v>102</v>
      </c>
      <c r="C79" s="17">
        <v>0</v>
      </c>
      <c r="D79" s="17">
        <v>0</v>
      </c>
      <c r="E79" s="17">
        <v>0</v>
      </c>
      <c r="F79" s="17">
        <v>0</v>
      </c>
      <c r="G79" s="22" t="s">
        <v>102</v>
      </c>
      <c r="H79" s="22" t="s">
        <v>102</v>
      </c>
      <c r="I79" s="22" t="s">
        <v>102</v>
      </c>
      <c r="J79" s="22" t="s">
        <v>102</v>
      </c>
      <c r="K79" s="22" t="s">
        <v>102</v>
      </c>
    </row>
    <row r="80" spans="1:11" x14ac:dyDescent="0.3">
      <c r="A80" s="30" t="s">
        <v>182</v>
      </c>
      <c r="B80" s="28" t="s">
        <v>102</v>
      </c>
      <c r="C80" s="21">
        <v>0</v>
      </c>
      <c r="D80" s="21">
        <v>0</v>
      </c>
      <c r="E80" s="21">
        <v>577</v>
      </c>
      <c r="F80" s="21">
        <v>0</v>
      </c>
      <c r="G80" s="28" t="s">
        <v>102</v>
      </c>
      <c r="H80" s="28" t="s">
        <v>102</v>
      </c>
      <c r="I80" s="28" t="s">
        <v>102</v>
      </c>
      <c r="J80" s="28" t="s">
        <v>102</v>
      </c>
      <c r="K80" s="28" t="s">
        <v>102</v>
      </c>
    </row>
    <row r="81" spans="1:11" x14ac:dyDescent="0.3">
      <c r="A81" s="29" t="s">
        <v>318</v>
      </c>
      <c r="B81" s="17">
        <v>0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22" t="s">
        <v>102</v>
      </c>
      <c r="J81" s="22" t="s">
        <v>102</v>
      </c>
      <c r="K81" s="22" t="s">
        <v>102</v>
      </c>
    </row>
    <row r="82" spans="1:11" x14ac:dyDescent="0.3">
      <c r="A82" s="30" t="s">
        <v>167</v>
      </c>
      <c r="B82" s="21">
        <v>467</v>
      </c>
      <c r="C82" s="21">
        <v>458.1</v>
      </c>
      <c r="D82" s="21">
        <v>46</v>
      </c>
      <c r="E82" s="21">
        <v>24</v>
      </c>
      <c r="F82" s="21">
        <v>171</v>
      </c>
      <c r="G82" s="21">
        <v>174.334</v>
      </c>
      <c r="H82" s="21">
        <v>174.334</v>
      </c>
      <c r="I82" s="21">
        <v>167</v>
      </c>
      <c r="J82" s="21">
        <v>167</v>
      </c>
      <c r="K82" s="21">
        <v>167</v>
      </c>
    </row>
    <row r="83" spans="1:11" x14ac:dyDescent="0.3">
      <c r="A83" s="29" t="s">
        <v>319</v>
      </c>
      <c r="B83" s="17">
        <v>1335.48</v>
      </c>
      <c r="C83" s="17">
        <v>386.88</v>
      </c>
      <c r="D83" s="17">
        <v>24.143999999999998</v>
      </c>
      <c r="E83" s="17">
        <v>24.082999999999998</v>
      </c>
      <c r="F83" s="17">
        <v>159.518</v>
      </c>
      <c r="G83" s="17">
        <v>159.518</v>
      </c>
      <c r="H83" s="17">
        <v>159.518</v>
      </c>
      <c r="I83" s="17">
        <v>159.518</v>
      </c>
      <c r="J83" s="22" t="s">
        <v>102</v>
      </c>
      <c r="K83" s="22" t="s">
        <v>102</v>
      </c>
    </row>
    <row r="84" spans="1:11" x14ac:dyDescent="0.3">
      <c r="A84" s="30" t="s">
        <v>320</v>
      </c>
      <c r="B84" s="24">
        <v>-1150.76</v>
      </c>
      <c r="C84" s="24">
        <v>-1259.8699999999999</v>
      </c>
      <c r="D84" s="24">
        <v>-1154.9000000000001</v>
      </c>
      <c r="E84" s="24">
        <v>-2244</v>
      </c>
      <c r="F84" s="24">
        <v>-1984.15</v>
      </c>
      <c r="G84" s="24">
        <v>-2408.27</v>
      </c>
      <c r="H84" s="24">
        <v>-3308.39</v>
      </c>
      <c r="I84" s="24">
        <v>-4138.75</v>
      </c>
      <c r="J84" s="24">
        <v>-3057.43</v>
      </c>
      <c r="K84" s="24">
        <v>-2972</v>
      </c>
    </row>
    <row r="85" spans="1:11" x14ac:dyDescent="0.3">
      <c r="A85" s="29" t="s">
        <v>321</v>
      </c>
      <c r="B85" s="22" t="s">
        <v>102</v>
      </c>
      <c r="C85" s="17">
        <v>1209.52</v>
      </c>
      <c r="D85" s="17">
        <v>1667.13</v>
      </c>
      <c r="E85" s="17">
        <v>2399.09</v>
      </c>
      <c r="F85" s="17">
        <v>2140.84</v>
      </c>
      <c r="G85" s="17">
        <v>2365.66</v>
      </c>
      <c r="H85" s="17">
        <v>2812.41</v>
      </c>
      <c r="I85" s="17">
        <v>3190</v>
      </c>
      <c r="J85" s="17">
        <v>3508</v>
      </c>
      <c r="K85" s="17">
        <v>3857</v>
      </c>
    </row>
    <row r="86" spans="1:11" x14ac:dyDescent="0.3">
      <c r="A86" s="30" t="s">
        <v>41</v>
      </c>
      <c r="B86" s="21">
        <v>0</v>
      </c>
      <c r="C86" s="21">
        <v>0</v>
      </c>
      <c r="D86" s="21">
        <v>0</v>
      </c>
      <c r="E86" s="21">
        <v>22.5</v>
      </c>
      <c r="F86" s="21">
        <v>0</v>
      </c>
      <c r="G86" s="21">
        <v>0</v>
      </c>
      <c r="H86" s="21">
        <v>0</v>
      </c>
      <c r="I86" s="21">
        <v>0</v>
      </c>
      <c r="J86" s="28" t="s">
        <v>102</v>
      </c>
      <c r="K86" s="28" t="s">
        <v>102</v>
      </c>
    </row>
    <row r="87" spans="1:11" x14ac:dyDescent="0.3">
      <c r="A87" s="29" t="s">
        <v>322</v>
      </c>
      <c r="B87" s="17">
        <v>2558.6</v>
      </c>
      <c r="C87" s="17">
        <v>2740</v>
      </c>
      <c r="D87" s="17">
        <v>3149</v>
      </c>
      <c r="E87" s="17">
        <v>4232</v>
      </c>
      <c r="F87" s="17">
        <v>4324</v>
      </c>
      <c r="G87" s="17">
        <v>5086.68</v>
      </c>
      <c r="H87" s="17">
        <v>6059.1</v>
      </c>
      <c r="I87" s="17">
        <v>6909.88</v>
      </c>
      <c r="J87" s="17">
        <v>6786</v>
      </c>
      <c r="K87" s="17">
        <v>7317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100E-C9DD-4A0E-8C50-64A9496F585B}">
  <dimension ref="A1:L65"/>
  <sheetViews>
    <sheetView topLeftCell="A4" workbookViewId="0">
      <selection activeCell="G58" sqref="G58"/>
    </sheetView>
  </sheetViews>
  <sheetFormatPr defaultRowHeight="15.6" x14ac:dyDescent="0.3"/>
  <cols>
    <col min="1" max="1" width="47.09765625" bestFit="1" customWidth="1"/>
  </cols>
  <sheetData>
    <row r="1" spans="1:12" x14ac:dyDescent="0.3">
      <c r="A1" s="8" t="s">
        <v>283</v>
      </c>
    </row>
    <row r="2" spans="1:12" x14ac:dyDescent="0.3">
      <c r="A2" s="9" t="s">
        <v>284</v>
      </c>
    </row>
    <row r="3" spans="1:12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3">
      <c r="A6" s="11" t="s">
        <v>286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1" t="s">
        <v>15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x14ac:dyDescent="0.3">
      <c r="A8" s="11"/>
      <c r="B8" s="11" t="s">
        <v>287</v>
      </c>
      <c r="C8" s="11" t="s">
        <v>288</v>
      </c>
      <c r="D8" s="11" t="s">
        <v>289</v>
      </c>
      <c r="E8" s="11" t="s">
        <v>290</v>
      </c>
      <c r="F8" s="11" t="s">
        <v>291</v>
      </c>
      <c r="G8" s="11" t="s">
        <v>292</v>
      </c>
      <c r="H8" s="11" t="s">
        <v>293</v>
      </c>
      <c r="I8" s="11" t="s">
        <v>294</v>
      </c>
      <c r="J8" s="11" t="s">
        <v>295</v>
      </c>
      <c r="K8" s="11" t="s">
        <v>296</v>
      </c>
      <c r="L8" s="11" t="s">
        <v>297</v>
      </c>
    </row>
    <row r="9" spans="1:12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 t="s">
        <v>16</v>
      </c>
    </row>
    <row r="10" spans="1:12" x14ac:dyDescent="0.3">
      <c r="A10" s="26" t="s">
        <v>63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spans="1:12" x14ac:dyDescent="0.3">
      <c r="A11" s="29" t="s">
        <v>64</v>
      </c>
      <c r="B11" s="41">
        <v>266.04700000000003</v>
      </c>
      <c r="C11" s="41">
        <v>303.38099999999997</v>
      </c>
      <c r="D11" s="41">
        <v>258.66199999999998</v>
      </c>
      <c r="E11" s="41">
        <v>483.80099999999999</v>
      </c>
      <c r="F11" s="41">
        <v>645.596</v>
      </c>
      <c r="G11" s="41">
        <v>588.91300000000001</v>
      </c>
      <c r="H11" s="41">
        <v>975.322</v>
      </c>
      <c r="I11" s="41">
        <v>854.8</v>
      </c>
      <c r="J11" s="41">
        <v>1550.19</v>
      </c>
      <c r="K11" s="41">
        <v>1814.616</v>
      </c>
      <c r="L11" s="41">
        <v>1807.7670000000001</v>
      </c>
    </row>
    <row r="12" spans="1:12" x14ac:dyDescent="0.3">
      <c r="A12" s="14" t="s">
        <v>65</v>
      </c>
      <c r="B12" s="37">
        <v>73.382999999999996</v>
      </c>
      <c r="C12" s="37">
        <v>87.697000000000003</v>
      </c>
      <c r="D12" s="37">
        <v>108.235</v>
      </c>
      <c r="E12" s="37">
        <v>122.48399999999999</v>
      </c>
      <c r="F12" s="37">
        <v>161.93299999999999</v>
      </c>
      <c r="G12" s="37">
        <v>185.47800000000001</v>
      </c>
      <c r="H12" s="37">
        <v>224.20599999999999</v>
      </c>
      <c r="I12" s="37">
        <v>291.791</v>
      </c>
      <c r="J12" s="37">
        <v>379.38400000000001</v>
      </c>
      <c r="K12" s="37">
        <v>446.524</v>
      </c>
      <c r="L12" s="37">
        <v>465.29399999999998</v>
      </c>
    </row>
    <row r="13" spans="1:12" x14ac:dyDescent="0.3">
      <c r="A13" s="16" t="s">
        <v>66</v>
      </c>
      <c r="B13" s="41">
        <v>72.572999999999993</v>
      </c>
      <c r="C13" s="41">
        <v>86.997</v>
      </c>
      <c r="D13" s="41">
        <v>108.235</v>
      </c>
      <c r="E13" s="41">
        <v>122.48399999999999</v>
      </c>
      <c r="F13" s="41">
        <v>161.93299999999999</v>
      </c>
      <c r="G13" s="22"/>
      <c r="H13" s="41">
        <v>215.42400000000001</v>
      </c>
      <c r="I13" s="41">
        <v>283.03899999999999</v>
      </c>
      <c r="J13" s="41">
        <v>374.37400000000002</v>
      </c>
      <c r="K13" s="41">
        <v>443.78899999999999</v>
      </c>
      <c r="L13" s="41">
        <v>460.92899999999997</v>
      </c>
    </row>
    <row r="14" spans="1:12" x14ac:dyDescent="0.3">
      <c r="A14" s="23" t="s">
        <v>67</v>
      </c>
      <c r="B14" s="39">
        <v>0.81</v>
      </c>
      <c r="C14" s="39">
        <v>0.7</v>
      </c>
      <c r="D14" s="28"/>
      <c r="E14" s="28"/>
      <c r="F14" s="28"/>
      <c r="G14" s="28"/>
      <c r="H14" s="39">
        <v>8.782</v>
      </c>
      <c r="I14" s="39">
        <v>8.7520000000000007</v>
      </c>
      <c r="J14" s="39">
        <v>5.01</v>
      </c>
      <c r="K14" s="39">
        <v>2.7349999999999999</v>
      </c>
      <c r="L14" s="39">
        <v>4.3650000000000002</v>
      </c>
    </row>
    <row r="15" spans="1:12" x14ac:dyDescent="0.3">
      <c r="A15" s="25" t="s">
        <v>68</v>
      </c>
      <c r="B15" s="42">
        <v>11.141999999999999</v>
      </c>
      <c r="C15" s="42">
        <v>-17.562999999999999</v>
      </c>
      <c r="D15" s="42">
        <v>-11.416</v>
      </c>
      <c r="E15" s="42">
        <v>16.786000000000001</v>
      </c>
      <c r="F15" s="42">
        <v>24.129000000000001</v>
      </c>
      <c r="G15" s="42">
        <v>34.908000000000001</v>
      </c>
      <c r="H15" s="42">
        <v>-5.18</v>
      </c>
      <c r="I15" s="42">
        <v>3.0419999999999998</v>
      </c>
      <c r="J15" s="42">
        <v>-28.382999999999999</v>
      </c>
      <c r="K15" s="42">
        <v>57.451000000000001</v>
      </c>
      <c r="L15" s="42">
        <v>57.451000000000001</v>
      </c>
    </row>
    <row r="16" spans="1:12" x14ac:dyDescent="0.3">
      <c r="A16" s="23" t="s">
        <v>69</v>
      </c>
      <c r="B16" s="39">
        <v>11.141999999999999</v>
      </c>
      <c r="C16" s="40">
        <v>-17.562999999999999</v>
      </c>
      <c r="D16" s="40">
        <v>-11.416</v>
      </c>
      <c r="E16" s="39">
        <v>16.786000000000001</v>
      </c>
      <c r="F16" s="39">
        <v>24.129000000000001</v>
      </c>
      <c r="G16" s="39">
        <v>34.908000000000001</v>
      </c>
      <c r="H16" s="40">
        <v>-5.18</v>
      </c>
      <c r="I16" s="39">
        <v>3.0419999999999998</v>
      </c>
      <c r="J16" s="40">
        <v>-28.382999999999999</v>
      </c>
      <c r="K16" s="39">
        <v>57.451000000000001</v>
      </c>
      <c r="L16" s="39">
        <v>57.451000000000001</v>
      </c>
    </row>
    <row r="17" spans="1:12" x14ac:dyDescent="0.3">
      <c r="A17" s="29" t="s">
        <v>70</v>
      </c>
      <c r="B17" s="41">
        <v>7.9109999999999996</v>
      </c>
      <c r="C17" s="41">
        <v>10.077999999999999</v>
      </c>
      <c r="D17" s="41">
        <v>29.228000000000002</v>
      </c>
      <c r="E17" s="41">
        <v>6.8330000000000002</v>
      </c>
      <c r="F17" s="41">
        <v>31.728999999999999</v>
      </c>
      <c r="G17" s="41">
        <v>41.585999999999999</v>
      </c>
      <c r="H17" s="41">
        <v>65.629000000000005</v>
      </c>
      <c r="I17" s="41">
        <v>413.822</v>
      </c>
      <c r="J17" s="41">
        <v>195.75</v>
      </c>
      <c r="K17" s="41">
        <v>6.0170000000000003</v>
      </c>
      <c r="L17" s="38">
        <v>-43.853999999999999</v>
      </c>
    </row>
    <row r="18" spans="1:12" x14ac:dyDescent="0.3">
      <c r="A18" s="30" t="s">
        <v>71</v>
      </c>
      <c r="B18" s="39">
        <v>358.483</v>
      </c>
      <c r="C18" s="39">
        <v>383.59300000000002</v>
      </c>
      <c r="D18" s="39">
        <v>384.709</v>
      </c>
      <c r="E18" s="39">
        <v>629.904</v>
      </c>
      <c r="F18" s="39">
        <v>863.38699999999994</v>
      </c>
      <c r="G18" s="39">
        <v>850.88499999999999</v>
      </c>
      <c r="H18" s="39">
        <v>1259.9770000000001</v>
      </c>
      <c r="I18" s="39">
        <v>1563.4549999999999</v>
      </c>
      <c r="J18" s="39">
        <v>2096.9409999999998</v>
      </c>
      <c r="K18" s="39">
        <v>2324.6080000000002</v>
      </c>
      <c r="L18" s="39">
        <v>2286.6579999999999</v>
      </c>
    </row>
    <row r="19" spans="1:12" x14ac:dyDescent="0.3">
      <c r="A19" s="25" t="s">
        <v>72</v>
      </c>
      <c r="B19" s="42">
        <v>-59.743000000000002</v>
      </c>
      <c r="C19" s="42">
        <v>0.60299999999999998</v>
      </c>
      <c r="D19" s="42">
        <v>104.628</v>
      </c>
      <c r="E19" s="42">
        <v>112.875</v>
      </c>
      <c r="F19" s="42">
        <v>-194.071</v>
      </c>
      <c r="G19" s="42">
        <v>-47.548999999999999</v>
      </c>
      <c r="H19" s="42">
        <v>129.131</v>
      </c>
      <c r="I19" s="42">
        <v>-596.99199999999996</v>
      </c>
      <c r="J19" s="42">
        <v>199.22300000000001</v>
      </c>
      <c r="K19" s="42">
        <v>-51.895000000000003</v>
      </c>
      <c r="L19" s="42">
        <v>-260.423</v>
      </c>
    </row>
    <row r="20" spans="1:12" x14ac:dyDescent="0.3">
      <c r="A20" s="23" t="s">
        <v>73</v>
      </c>
      <c r="B20" s="28"/>
      <c r="C20" s="28"/>
      <c r="D20" s="28"/>
      <c r="E20" s="28"/>
      <c r="F20" s="28"/>
      <c r="G20" s="28"/>
      <c r="H20" s="28"/>
      <c r="I20" s="28"/>
      <c r="J20" s="28"/>
      <c r="K20" s="39">
        <v>1.6259999999999999</v>
      </c>
      <c r="L20" s="28"/>
    </row>
    <row r="21" spans="1:12" x14ac:dyDescent="0.3">
      <c r="A21" s="16" t="s">
        <v>74</v>
      </c>
      <c r="B21" s="38">
        <v>-83.286000000000001</v>
      </c>
      <c r="C21" s="38">
        <v>-5.4029999999999996</v>
      </c>
      <c r="D21" s="38">
        <v>-21.178000000000001</v>
      </c>
      <c r="E21" s="38">
        <v>-85.941999999999993</v>
      </c>
      <c r="F21" s="38">
        <v>-117.59099999999999</v>
      </c>
      <c r="G21" s="38">
        <v>-96.548000000000002</v>
      </c>
      <c r="H21" s="38">
        <v>-323.60899999999998</v>
      </c>
      <c r="I21" s="38">
        <v>-510.51</v>
      </c>
      <c r="J21" s="41">
        <v>66.584000000000003</v>
      </c>
      <c r="K21" s="38">
        <v>-156.08500000000001</v>
      </c>
      <c r="L21" s="38">
        <v>-293.97899999999998</v>
      </c>
    </row>
    <row r="22" spans="1:12" x14ac:dyDescent="0.3">
      <c r="A22" s="23" t="s">
        <v>75</v>
      </c>
      <c r="B22" s="39">
        <v>1.2470000000000001</v>
      </c>
      <c r="C22" s="39">
        <v>14.08</v>
      </c>
      <c r="D22" s="40">
        <v>-1.5509999999999999</v>
      </c>
      <c r="E22" s="39">
        <v>71.962000000000003</v>
      </c>
      <c r="F22" s="40">
        <v>-14.81</v>
      </c>
      <c r="G22" s="39">
        <v>82.662999999999997</v>
      </c>
      <c r="H22" s="39">
        <v>117.655</v>
      </c>
      <c r="I22" s="40">
        <v>-107.28</v>
      </c>
      <c r="J22" s="39">
        <v>177.36699999999999</v>
      </c>
      <c r="K22" s="40">
        <v>-57.043999999999997</v>
      </c>
      <c r="L22" s="39">
        <v>47.811</v>
      </c>
    </row>
    <row r="23" spans="1:12" x14ac:dyDescent="0.3">
      <c r="A23" s="16" t="s">
        <v>329</v>
      </c>
      <c r="B23" s="41">
        <v>19.47</v>
      </c>
      <c r="C23" s="38">
        <v>-10.02</v>
      </c>
      <c r="D23" s="38">
        <v>-16.47</v>
      </c>
      <c r="E23" s="41">
        <v>52.597000000000001</v>
      </c>
      <c r="F23" s="38">
        <v>-40.264000000000003</v>
      </c>
      <c r="G23" s="38">
        <v>-24.125</v>
      </c>
      <c r="H23" s="41">
        <v>120.77800000000001</v>
      </c>
      <c r="I23" s="41">
        <v>35.985999999999997</v>
      </c>
      <c r="J23" s="38">
        <v>-173.196</v>
      </c>
      <c r="K23" s="41">
        <v>157.20500000000001</v>
      </c>
      <c r="L23" s="38">
        <v>-44.206000000000003</v>
      </c>
    </row>
    <row r="24" spans="1:12" x14ac:dyDescent="0.3">
      <c r="A24" s="23" t="s">
        <v>330</v>
      </c>
      <c r="B24" s="39">
        <v>39.698</v>
      </c>
      <c r="C24" s="40">
        <v>-8.49</v>
      </c>
      <c r="D24" s="39">
        <v>47.363</v>
      </c>
      <c r="E24" s="39">
        <v>45.911999999999999</v>
      </c>
      <c r="F24" s="39">
        <v>15.728</v>
      </c>
      <c r="G24" s="39">
        <v>92.468999999999994</v>
      </c>
      <c r="H24" s="39">
        <v>179.15100000000001</v>
      </c>
      <c r="I24" s="39">
        <v>112.61799999999999</v>
      </c>
      <c r="J24" s="40">
        <v>-1.407</v>
      </c>
      <c r="K24" s="39">
        <v>81.028999999999996</v>
      </c>
      <c r="L24" s="39">
        <v>125.402</v>
      </c>
    </row>
    <row r="25" spans="1:12" x14ac:dyDescent="0.3">
      <c r="A25" s="16" t="s">
        <v>76</v>
      </c>
      <c r="B25" s="38">
        <v>-36.872</v>
      </c>
      <c r="C25" s="41">
        <v>10.436</v>
      </c>
      <c r="D25" s="41">
        <v>96.463999999999999</v>
      </c>
      <c r="E25" s="41">
        <v>28.346</v>
      </c>
      <c r="F25" s="38">
        <v>-37.134</v>
      </c>
      <c r="G25" s="38">
        <v>-102.008</v>
      </c>
      <c r="H25" s="41">
        <v>35.155999999999999</v>
      </c>
      <c r="I25" s="38">
        <v>-127.806</v>
      </c>
      <c r="J25" s="41">
        <v>129.875</v>
      </c>
      <c r="K25" s="38">
        <v>-78.626000000000005</v>
      </c>
      <c r="L25" s="38">
        <v>-78.572999999999993</v>
      </c>
    </row>
    <row r="26" spans="1:12" x14ac:dyDescent="0.3">
      <c r="A26" s="30" t="s">
        <v>77</v>
      </c>
      <c r="B26" s="39">
        <v>298.74</v>
      </c>
      <c r="C26" s="39">
        <v>384.19600000000003</v>
      </c>
      <c r="D26" s="39">
        <v>489.33699999999999</v>
      </c>
      <c r="E26" s="39">
        <v>742.779</v>
      </c>
      <c r="F26" s="39">
        <v>669.31600000000003</v>
      </c>
      <c r="G26" s="39">
        <v>803.33600000000001</v>
      </c>
      <c r="H26" s="39">
        <v>1389.1079999999999</v>
      </c>
      <c r="I26" s="39">
        <v>966.46299999999997</v>
      </c>
      <c r="J26" s="39">
        <v>2296.1640000000002</v>
      </c>
      <c r="K26" s="39">
        <v>2272.7130000000002</v>
      </c>
      <c r="L26" s="39">
        <v>2026.2349999999999</v>
      </c>
    </row>
    <row r="27" spans="1:12" x14ac:dyDescent="0.3">
      <c r="A27" s="12" t="s">
        <v>78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x14ac:dyDescent="0.3">
      <c r="A28" s="14" t="s">
        <v>79</v>
      </c>
      <c r="B28" s="37">
        <v>-143.48699999999999</v>
      </c>
      <c r="C28" s="37">
        <v>-149.511</v>
      </c>
      <c r="D28" s="37">
        <v>-157.864</v>
      </c>
      <c r="E28" s="37">
        <v>-225.80699999999999</v>
      </c>
      <c r="F28" s="37">
        <v>-283.048</v>
      </c>
      <c r="G28" s="37">
        <v>-229.226</v>
      </c>
      <c r="H28" s="37">
        <v>-394.50200000000001</v>
      </c>
      <c r="I28" s="37">
        <v>-638.65700000000004</v>
      </c>
      <c r="J28" s="37">
        <v>-651.86500000000001</v>
      </c>
      <c r="K28" s="37">
        <v>-689.23199999999997</v>
      </c>
      <c r="L28" s="37">
        <v>-710.81399999999996</v>
      </c>
    </row>
    <row r="29" spans="1:12" x14ac:dyDescent="0.3">
      <c r="A29" s="16" t="s">
        <v>80</v>
      </c>
      <c r="B29" s="38">
        <v>-143.48699999999999</v>
      </c>
      <c r="C29" s="38">
        <v>-149.511</v>
      </c>
      <c r="D29" s="38">
        <v>-157.864</v>
      </c>
      <c r="E29" s="38">
        <v>-225.80699999999999</v>
      </c>
      <c r="F29" s="38">
        <v>-283.048</v>
      </c>
      <c r="G29" s="38">
        <v>-229.226</v>
      </c>
      <c r="H29" s="38">
        <v>-394.50200000000001</v>
      </c>
      <c r="I29" s="38">
        <v>-638.65700000000004</v>
      </c>
      <c r="J29" s="38">
        <v>-651.86500000000001</v>
      </c>
      <c r="K29" s="38">
        <v>-689.23199999999997</v>
      </c>
      <c r="L29" s="38">
        <v>-710.81399999999996</v>
      </c>
    </row>
    <row r="30" spans="1:12" x14ac:dyDescent="0.3">
      <c r="A30" s="30" t="s">
        <v>81</v>
      </c>
      <c r="B30" s="28"/>
      <c r="C30" s="28"/>
      <c r="D30" s="28"/>
      <c r="E30" s="39">
        <v>0</v>
      </c>
      <c r="F30" s="39">
        <v>0</v>
      </c>
      <c r="G30" s="40">
        <v>-452.58100000000002</v>
      </c>
      <c r="H30" s="39">
        <v>0</v>
      </c>
      <c r="I30" s="39">
        <v>0</v>
      </c>
      <c r="J30" s="39">
        <v>0</v>
      </c>
      <c r="K30" s="40">
        <v>-154.14599999999999</v>
      </c>
      <c r="L30" s="40">
        <v>-154.14599999999999</v>
      </c>
    </row>
    <row r="31" spans="1:12" x14ac:dyDescent="0.3">
      <c r="A31" s="25" t="s">
        <v>82</v>
      </c>
      <c r="B31" s="42">
        <v>0</v>
      </c>
      <c r="C31" s="42">
        <v>0</v>
      </c>
      <c r="D31" s="42">
        <v>-7.2030000000000003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</row>
    <row r="32" spans="1:12" x14ac:dyDescent="0.3">
      <c r="A32" s="23" t="s">
        <v>83</v>
      </c>
      <c r="B32" s="28"/>
      <c r="C32" s="39">
        <v>0</v>
      </c>
      <c r="D32" s="39">
        <v>7.2030000000000003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</row>
    <row r="33" spans="1:12" x14ac:dyDescent="0.3">
      <c r="A33" s="25" t="s">
        <v>70</v>
      </c>
      <c r="B33" s="42">
        <v>0</v>
      </c>
      <c r="C33" s="42">
        <v>0</v>
      </c>
      <c r="D33" s="42">
        <v>-8.3249999999999993</v>
      </c>
      <c r="E33" s="42">
        <v>-16.986999999999998</v>
      </c>
      <c r="F33" s="42">
        <v>4.6399999999999997</v>
      </c>
      <c r="G33" s="42">
        <v>-13.725</v>
      </c>
      <c r="H33" s="42">
        <v>-33.389000000000003</v>
      </c>
      <c r="I33" s="42">
        <v>68.72</v>
      </c>
      <c r="J33" s="42">
        <v>-2.2669999999999999</v>
      </c>
      <c r="K33" s="42">
        <v>45.204000000000001</v>
      </c>
      <c r="L33" s="42">
        <v>91.480999999999995</v>
      </c>
    </row>
    <row r="34" spans="1:12" x14ac:dyDescent="0.3">
      <c r="A34" s="23" t="s">
        <v>84</v>
      </c>
      <c r="B34" s="39">
        <v>0</v>
      </c>
      <c r="C34" s="39">
        <v>0</v>
      </c>
      <c r="D34" s="40">
        <v>-8.3249999999999993</v>
      </c>
      <c r="E34" s="40">
        <v>-16.986999999999998</v>
      </c>
      <c r="F34" s="39">
        <v>0</v>
      </c>
      <c r="G34" s="40">
        <v>-14.606999999999999</v>
      </c>
      <c r="H34" s="40">
        <v>-33.389000000000003</v>
      </c>
      <c r="I34" s="39">
        <v>0</v>
      </c>
      <c r="J34" s="40">
        <v>-2.2669999999999999</v>
      </c>
      <c r="K34" s="40">
        <v>-5.0090000000000003</v>
      </c>
      <c r="L34" s="40">
        <v>-7.4029999999999996</v>
      </c>
    </row>
    <row r="35" spans="1:12" x14ac:dyDescent="0.3">
      <c r="A35" s="16" t="s">
        <v>85</v>
      </c>
      <c r="B35" s="41">
        <v>0</v>
      </c>
      <c r="C35" s="41">
        <v>0</v>
      </c>
      <c r="D35" s="41">
        <v>0</v>
      </c>
      <c r="E35" s="41">
        <v>0</v>
      </c>
      <c r="F35" s="41">
        <v>4.6399999999999997</v>
      </c>
      <c r="G35" s="41">
        <v>0.88200000000000001</v>
      </c>
      <c r="H35" s="41">
        <v>0</v>
      </c>
      <c r="I35" s="41">
        <v>68.72</v>
      </c>
      <c r="J35" s="41">
        <v>0</v>
      </c>
      <c r="K35" s="41">
        <v>50.213000000000001</v>
      </c>
      <c r="L35" s="41">
        <v>98.884</v>
      </c>
    </row>
    <row r="36" spans="1:12" x14ac:dyDescent="0.3">
      <c r="A36" s="30" t="s">
        <v>86</v>
      </c>
      <c r="B36" s="40">
        <v>-143.48699999999999</v>
      </c>
      <c r="C36" s="40">
        <v>-149.511</v>
      </c>
      <c r="D36" s="40">
        <v>-173.392</v>
      </c>
      <c r="E36" s="40">
        <v>-242.79400000000001</v>
      </c>
      <c r="F36" s="40">
        <v>-278.40800000000002</v>
      </c>
      <c r="G36" s="40">
        <v>-695.53200000000004</v>
      </c>
      <c r="H36" s="40">
        <v>-427.89100000000002</v>
      </c>
      <c r="I36" s="40">
        <v>-569.93700000000001</v>
      </c>
      <c r="J36" s="40">
        <v>-654.13199999999995</v>
      </c>
      <c r="K36" s="40">
        <v>-798.17399999999998</v>
      </c>
      <c r="L36" s="40">
        <v>-773.47900000000004</v>
      </c>
    </row>
    <row r="37" spans="1:12" x14ac:dyDescent="0.3">
      <c r="A37" s="12" t="s">
        <v>87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x14ac:dyDescent="0.3">
      <c r="A38" s="14" t="s">
        <v>88</v>
      </c>
      <c r="B38" s="37">
        <v>-269.48899999999998</v>
      </c>
      <c r="C38" s="37">
        <v>-22.42</v>
      </c>
      <c r="D38" s="37">
        <v>-94.632999999999996</v>
      </c>
      <c r="E38" s="37">
        <v>-580.69000000000005</v>
      </c>
      <c r="F38" s="37">
        <v>-155.22900000000001</v>
      </c>
      <c r="G38" s="37">
        <v>-48.4</v>
      </c>
      <c r="H38" s="37">
        <v>-794.40800000000002</v>
      </c>
      <c r="I38" s="37">
        <v>-432.29700000000003</v>
      </c>
      <c r="J38" s="37">
        <v>-516.22199999999998</v>
      </c>
      <c r="K38" s="37">
        <v>-1617.066</v>
      </c>
      <c r="L38" s="37">
        <v>-1755.1980000000001</v>
      </c>
    </row>
    <row r="39" spans="1:12" x14ac:dyDescent="0.3">
      <c r="A39" s="16" t="s">
        <v>89</v>
      </c>
      <c r="B39" s="38">
        <v>-274.19299999999998</v>
      </c>
      <c r="C39" s="38">
        <v>-29.327000000000002</v>
      </c>
      <c r="D39" s="38">
        <v>-100.261</v>
      </c>
      <c r="E39" s="38">
        <v>-598.34</v>
      </c>
      <c r="F39" s="38">
        <v>-173.399</v>
      </c>
      <c r="G39" s="38">
        <v>-63.662999999999997</v>
      </c>
      <c r="H39" s="38">
        <v>-812.60199999999998</v>
      </c>
      <c r="I39" s="38">
        <v>-444.00099999999998</v>
      </c>
      <c r="J39" s="38">
        <v>-558.65200000000004</v>
      </c>
      <c r="K39" s="38">
        <v>-1636.8789999999999</v>
      </c>
      <c r="L39" s="38">
        <v>-1771.8389999999999</v>
      </c>
    </row>
    <row r="40" spans="1:12" x14ac:dyDescent="0.3">
      <c r="A40" s="18" t="s">
        <v>90</v>
      </c>
      <c r="B40" s="37">
        <v>4.7039999999999997</v>
      </c>
      <c r="C40" s="37">
        <v>6.907</v>
      </c>
      <c r="D40" s="37">
        <v>5.6280000000000001</v>
      </c>
      <c r="E40" s="37">
        <v>17.649999999999999</v>
      </c>
      <c r="F40" s="37">
        <v>18.170000000000002</v>
      </c>
      <c r="G40" s="37">
        <v>15.263</v>
      </c>
      <c r="H40" s="37">
        <v>18.193999999999999</v>
      </c>
      <c r="I40" s="37">
        <v>11.704000000000001</v>
      </c>
      <c r="J40" s="37">
        <v>42.43</v>
      </c>
      <c r="K40" s="37">
        <v>19.812999999999999</v>
      </c>
      <c r="L40" s="37">
        <v>16.640999999999998</v>
      </c>
    </row>
    <row r="41" spans="1:12" x14ac:dyDescent="0.3">
      <c r="A41" s="19" t="s">
        <v>331</v>
      </c>
      <c r="B41" s="41">
        <v>4.7039999999999997</v>
      </c>
      <c r="C41" s="41">
        <v>6.907</v>
      </c>
      <c r="D41" s="41">
        <v>5.6280000000000001</v>
      </c>
      <c r="E41" s="41">
        <v>17.649999999999999</v>
      </c>
      <c r="F41" s="41">
        <v>18.170000000000002</v>
      </c>
      <c r="G41" s="41">
        <v>15.263</v>
      </c>
      <c r="H41" s="41">
        <v>18.193999999999999</v>
      </c>
      <c r="I41" s="41">
        <v>11.704000000000001</v>
      </c>
      <c r="J41" s="41">
        <v>42.43</v>
      </c>
      <c r="K41" s="41">
        <v>19.812999999999999</v>
      </c>
      <c r="L41" s="41">
        <v>16.640999999999998</v>
      </c>
    </row>
    <row r="42" spans="1:12" x14ac:dyDescent="0.3">
      <c r="A42" s="14" t="s">
        <v>70</v>
      </c>
      <c r="B42" s="37">
        <v>-4.2039999999999997</v>
      </c>
      <c r="C42" s="37">
        <v>-1.9950000000000001</v>
      </c>
      <c r="D42" s="37">
        <v>-3.2290000000000001</v>
      </c>
      <c r="E42" s="37">
        <v>-9.5239999999999991</v>
      </c>
      <c r="F42" s="37">
        <v>-21.943999999999999</v>
      </c>
      <c r="G42" s="37">
        <v>-32.387999999999998</v>
      </c>
      <c r="H42" s="37">
        <v>-50.579000000000001</v>
      </c>
      <c r="I42" s="37">
        <v>-35.19</v>
      </c>
      <c r="J42" s="37">
        <v>-32.606000000000002</v>
      </c>
      <c r="K42" s="37">
        <v>-35.442</v>
      </c>
      <c r="L42" s="37">
        <v>-36.655999999999999</v>
      </c>
    </row>
    <row r="43" spans="1:12" x14ac:dyDescent="0.3">
      <c r="A43" s="16" t="s">
        <v>84</v>
      </c>
      <c r="B43" s="38">
        <v>-4.2039999999999997</v>
      </c>
      <c r="C43" s="38">
        <v>-3.2679999999999998</v>
      </c>
      <c r="D43" s="38">
        <v>-3.2290000000000001</v>
      </c>
      <c r="E43" s="38">
        <v>-9.5239999999999991</v>
      </c>
      <c r="F43" s="38">
        <v>-21.943999999999999</v>
      </c>
      <c r="G43" s="38">
        <v>-32.387999999999998</v>
      </c>
      <c r="H43" s="38">
        <v>-50.579000000000001</v>
      </c>
      <c r="I43" s="38">
        <v>-35.19</v>
      </c>
      <c r="J43" s="38">
        <v>-32.606000000000002</v>
      </c>
      <c r="K43" s="38">
        <v>-35.442</v>
      </c>
      <c r="L43" s="38">
        <v>-36.655999999999999</v>
      </c>
    </row>
    <row r="44" spans="1:12" x14ac:dyDescent="0.3">
      <c r="A44" s="23" t="s">
        <v>85</v>
      </c>
      <c r="B44" s="39">
        <v>0</v>
      </c>
      <c r="C44" s="39">
        <v>1.2729999999999999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</row>
    <row r="45" spans="1:12" x14ac:dyDescent="0.3">
      <c r="A45" s="29" t="s">
        <v>91</v>
      </c>
      <c r="B45" s="38">
        <v>-273.69299999999998</v>
      </c>
      <c r="C45" s="38">
        <v>-24.414999999999999</v>
      </c>
      <c r="D45" s="38">
        <v>-97.861999999999995</v>
      </c>
      <c r="E45" s="38">
        <v>-590.21400000000006</v>
      </c>
      <c r="F45" s="38">
        <v>-177.173</v>
      </c>
      <c r="G45" s="38">
        <v>-80.787999999999997</v>
      </c>
      <c r="H45" s="38">
        <v>-844.98699999999997</v>
      </c>
      <c r="I45" s="38">
        <v>-467.48700000000002</v>
      </c>
      <c r="J45" s="38">
        <v>-548.82799999999997</v>
      </c>
      <c r="K45" s="38">
        <v>-1652.508</v>
      </c>
      <c r="L45" s="38">
        <v>-1791.854</v>
      </c>
    </row>
    <row r="46" spans="1:12" x14ac:dyDescent="0.3">
      <c r="A46" s="26" t="s">
        <v>92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12" x14ac:dyDescent="0.3">
      <c r="A47" s="29" t="s">
        <v>93</v>
      </c>
      <c r="B47" s="38">
        <v>-44.557000000000002</v>
      </c>
      <c r="C47" s="41">
        <v>23.094000000000001</v>
      </c>
      <c r="D47" s="41">
        <v>37.572000000000003</v>
      </c>
      <c r="E47" s="38">
        <v>-18.952000000000002</v>
      </c>
      <c r="F47" s="38">
        <v>-1.55</v>
      </c>
      <c r="G47" s="41">
        <v>29.995999999999999</v>
      </c>
      <c r="H47" s="38">
        <v>-6.8760000000000003</v>
      </c>
      <c r="I47" s="38">
        <v>-34.042999999999999</v>
      </c>
      <c r="J47" s="38">
        <v>-4.0999999999999996</v>
      </c>
      <c r="K47" s="38">
        <v>-81.665999999999997</v>
      </c>
      <c r="L47" s="38">
        <v>-36.302</v>
      </c>
    </row>
    <row r="48" spans="1:12" x14ac:dyDescent="0.3">
      <c r="A48" s="30" t="s">
        <v>94</v>
      </c>
      <c r="B48" s="40">
        <v>-162.99700000000001</v>
      </c>
      <c r="C48" s="39">
        <v>233.364</v>
      </c>
      <c r="D48" s="39">
        <v>255.655</v>
      </c>
      <c r="E48" s="40">
        <v>-109.181</v>
      </c>
      <c r="F48" s="39">
        <v>212.185</v>
      </c>
      <c r="G48" s="39">
        <v>57.012</v>
      </c>
      <c r="H48" s="39">
        <v>109.354</v>
      </c>
      <c r="I48" s="40">
        <v>-105.004</v>
      </c>
      <c r="J48" s="39">
        <v>1089.104</v>
      </c>
      <c r="K48" s="40">
        <v>-259.63499999999999</v>
      </c>
      <c r="L48" s="40">
        <v>-575.4</v>
      </c>
    </row>
    <row r="49" spans="1:12" x14ac:dyDescent="0.3">
      <c r="A49" s="25" t="s">
        <v>95</v>
      </c>
      <c r="B49" s="42">
        <v>155.25299999999999</v>
      </c>
      <c r="C49" s="42">
        <v>234.685</v>
      </c>
      <c r="D49" s="42">
        <v>331.47300000000001</v>
      </c>
      <c r="E49" s="42">
        <v>516.97199999999998</v>
      </c>
      <c r="F49" s="42">
        <v>386.26799999999997</v>
      </c>
      <c r="G49" s="42">
        <v>574.11</v>
      </c>
      <c r="H49" s="42">
        <v>994.60599999999999</v>
      </c>
      <c r="I49" s="42">
        <v>327.80599999999998</v>
      </c>
      <c r="J49" s="42">
        <v>1644.299</v>
      </c>
      <c r="K49" s="42">
        <v>1583.481</v>
      </c>
      <c r="L49" s="42">
        <v>1315.421</v>
      </c>
    </row>
    <row r="50" spans="1:12" x14ac:dyDescent="0.3">
      <c r="A50" s="23" t="s">
        <v>96</v>
      </c>
      <c r="B50" s="39">
        <v>1.104139</v>
      </c>
      <c r="C50" s="39">
        <v>1.7092609999999999</v>
      </c>
      <c r="D50" s="39">
        <v>2.4337580000000001</v>
      </c>
      <c r="E50" s="39">
        <v>3.858835</v>
      </c>
      <c r="F50" s="39">
        <v>2.949624</v>
      </c>
      <c r="G50" s="39">
        <v>4.3868390000000002</v>
      </c>
      <c r="H50" s="39">
        <v>7.6334929999999996</v>
      </c>
      <c r="I50" s="39">
        <v>2.5606439999999999</v>
      </c>
      <c r="J50" s="39">
        <v>12.941122</v>
      </c>
      <c r="K50" s="39">
        <v>12.776706000000001</v>
      </c>
      <c r="L50" s="39">
        <v>10.885372</v>
      </c>
    </row>
    <row r="51" spans="1:12" x14ac:dyDescent="0.3">
      <c r="A51" s="16" t="s">
        <v>97</v>
      </c>
      <c r="B51" s="33">
        <v>1.778861</v>
      </c>
      <c r="C51" s="33">
        <v>2.5580090000000002</v>
      </c>
      <c r="D51" s="33">
        <v>3.0775899999999998</v>
      </c>
      <c r="E51" s="33">
        <v>2.6408670000000001</v>
      </c>
      <c r="F51" s="33">
        <v>1.2321420000000001</v>
      </c>
      <c r="G51" s="33">
        <v>1.334684</v>
      </c>
      <c r="H51" s="33">
        <v>2.4163510000000001</v>
      </c>
      <c r="I51" s="33">
        <v>0.82375600000000004</v>
      </c>
      <c r="J51" s="33">
        <v>2.7071779999999999</v>
      </c>
      <c r="K51" s="33">
        <v>3.1206839999999998</v>
      </c>
      <c r="L51" s="33">
        <v>3.9246370000000002</v>
      </c>
    </row>
    <row r="52" spans="1:12" x14ac:dyDescent="0.3">
      <c r="A52" s="35" t="s">
        <v>53</v>
      </c>
    </row>
    <row r="54" spans="1:12" x14ac:dyDescent="0.3">
      <c r="A54" t="s">
        <v>99</v>
      </c>
    </row>
    <row r="55" spans="1:12" x14ac:dyDescent="0.3">
      <c r="A55" s="8" t="s">
        <v>303</v>
      </c>
    </row>
    <row r="56" spans="1:12" x14ac:dyDescent="0.3">
      <c r="A56" t="s">
        <v>107</v>
      </c>
    </row>
    <row r="57" spans="1:12" x14ac:dyDescent="0.3">
      <c r="A57" s="46"/>
      <c r="B57" s="46" t="s">
        <v>304</v>
      </c>
      <c r="C57" s="46" t="s">
        <v>305</v>
      </c>
      <c r="D57" s="46" t="s">
        <v>306</v>
      </c>
      <c r="E57" s="46" t="s">
        <v>307</v>
      </c>
      <c r="F57" s="46" t="s">
        <v>308</v>
      </c>
      <c r="G57" s="46" t="s">
        <v>309</v>
      </c>
      <c r="H57" s="46" t="s">
        <v>310</v>
      </c>
      <c r="I57" s="46" t="s">
        <v>311</v>
      </c>
      <c r="J57" s="46" t="s">
        <v>312</v>
      </c>
      <c r="K57" s="46" t="s">
        <v>313</v>
      </c>
    </row>
    <row r="58" spans="1:12" x14ac:dyDescent="0.3">
      <c r="A58" s="14" t="s">
        <v>79</v>
      </c>
      <c r="B58" s="15">
        <v>229.2</v>
      </c>
      <c r="C58" s="15">
        <v>395</v>
      </c>
      <c r="D58" s="15">
        <v>639</v>
      </c>
      <c r="E58" s="15">
        <v>652</v>
      </c>
      <c r="F58" s="15">
        <v>689</v>
      </c>
      <c r="G58" s="15">
        <v>757.29100000000005</v>
      </c>
      <c r="H58" s="15">
        <v>806.81299999999999</v>
      </c>
      <c r="I58" s="15">
        <v>827.47699999999998</v>
      </c>
      <c r="J58" s="15">
        <v>860.303</v>
      </c>
      <c r="K58" s="15">
        <v>787</v>
      </c>
    </row>
    <row r="59" spans="1:12" x14ac:dyDescent="0.3">
      <c r="A59" s="16" t="s">
        <v>101</v>
      </c>
      <c r="B59" s="22" t="s">
        <v>102</v>
      </c>
      <c r="C59" s="17">
        <v>375</v>
      </c>
      <c r="D59" s="17">
        <v>630</v>
      </c>
      <c r="E59" s="17">
        <v>670</v>
      </c>
      <c r="F59" s="17">
        <v>670</v>
      </c>
      <c r="G59" s="17">
        <v>740</v>
      </c>
      <c r="H59" s="22" t="s">
        <v>102</v>
      </c>
      <c r="I59" s="22" t="s">
        <v>102</v>
      </c>
      <c r="J59" s="22" t="s">
        <v>102</v>
      </c>
      <c r="K59" s="22" t="s">
        <v>102</v>
      </c>
    </row>
    <row r="60" spans="1:12" x14ac:dyDescent="0.3">
      <c r="A60" s="23" t="s">
        <v>103</v>
      </c>
      <c r="B60" s="28" t="s">
        <v>102</v>
      </c>
      <c r="C60" s="21">
        <v>385</v>
      </c>
      <c r="D60" s="21">
        <v>655</v>
      </c>
      <c r="E60" s="21">
        <v>690</v>
      </c>
      <c r="F60" s="21">
        <v>690</v>
      </c>
      <c r="G60" s="21">
        <v>760</v>
      </c>
      <c r="H60" s="28" t="s">
        <v>102</v>
      </c>
      <c r="I60" s="28" t="s">
        <v>102</v>
      </c>
      <c r="J60" s="28" t="s">
        <v>102</v>
      </c>
      <c r="K60" s="28" t="s">
        <v>102</v>
      </c>
    </row>
    <row r="61" spans="1:12" x14ac:dyDescent="0.3">
      <c r="A61" s="29" t="s">
        <v>95</v>
      </c>
      <c r="B61" s="17">
        <v>574</v>
      </c>
      <c r="C61" s="17">
        <v>995</v>
      </c>
      <c r="D61" s="17">
        <v>327.80599999999998</v>
      </c>
      <c r="E61" s="17">
        <v>1644.3</v>
      </c>
      <c r="F61" s="17">
        <v>1583</v>
      </c>
      <c r="G61" s="17">
        <v>1231.1199999999999</v>
      </c>
      <c r="H61" s="17">
        <v>1529.67</v>
      </c>
      <c r="I61" s="17">
        <v>1585.2</v>
      </c>
      <c r="J61" s="17">
        <v>1818.51</v>
      </c>
      <c r="K61" s="17">
        <v>2020</v>
      </c>
    </row>
    <row r="62" spans="1:12" x14ac:dyDescent="0.3">
      <c r="A62" s="30" t="s">
        <v>323</v>
      </c>
      <c r="B62" s="21">
        <v>601.5</v>
      </c>
      <c r="C62" s="21">
        <v>1034.0999999999999</v>
      </c>
      <c r="D62" s="21">
        <v>757.8</v>
      </c>
      <c r="E62" s="21">
        <v>1673.4</v>
      </c>
      <c r="F62" s="21">
        <v>1513.1</v>
      </c>
      <c r="G62" s="21">
        <v>861.8</v>
      </c>
      <c r="H62" s="21">
        <v>1223.4000000000001</v>
      </c>
      <c r="I62" s="28" t="s">
        <v>102</v>
      </c>
      <c r="J62" s="28" t="s">
        <v>102</v>
      </c>
      <c r="K62" s="28" t="s">
        <v>102</v>
      </c>
    </row>
    <row r="63" spans="1:12" x14ac:dyDescent="0.3">
      <c r="A63" s="29" t="s">
        <v>108</v>
      </c>
      <c r="B63" s="17">
        <v>803.15</v>
      </c>
      <c r="C63" s="17">
        <v>1389</v>
      </c>
      <c r="D63" s="17">
        <v>966</v>
      </c>
      <c r="E63" s="17">
        <v>2296.08</v>
      </c>
      <c r="F63" s="17">
        <v>2273</v>
      </c>
      <c r="G63" s="17">
        <v>2091.61</v>
      </c>
      <c r="H63" s="17">
        <v>2360.65</v>
      </c>
      <c r="I63" s="17">
        <v>2417</v>
      </c>
      <c r="J63" s="17">
        <v>2666</v>
      </c>
      <c r="K63" s="17">
        <v>2807</v>
      </c>
    </row>
    <row r="64" spans="1:12" x14ac:dyDescent="0.3">
      <c r="A64" s="30" t="s">
        <v>109</v>
      </c>
      <c r="B64" s="24">
        <v>-695.5</v>
      </c>
      <c r="C64" s="24">
        <v>-427.95</v>
      </c>
      <c r="D64" s="24">
        <v>-570</v>
      </c>
      <c r="E64" s="24">
        <v>-654</v>
      </c>
      <c r="F64" s="24">
        <v>-798</v>
      </c>
      <c r="G64" s="24">
        <v>-710.26700000000005</v>
      </c>
      <c r="H64" s="24">
        <v>-801.33299999999997</v>
      </c>
      <c r="I64" s="24">
        <v>-834</v>
      </c>
      <c r="J64" s="24">
        <v>-813</v>
      </c>
      <c r="K64" s="24">
        <v>-787</v>
      </c>
    </row>
    <row r="65" spans="1:11" x14ac:dyDescent="0.3">
      <c r="A65" s="29" t="s">
        <v>110</v>
      </c>
      <c r="B65" s="27">
        <v>-80.8</v>
      </c>
      <c r="C65" s="27">
        <v>-845</v>
      </c>
      <c r="D65" s="27">
        <v>-467.25</v>
      </c>
      <c r="E65" s="27">
        <v>-549</v>
      </c>
      <c r="F65" s="27">
        <v>-1653</v>
      </c>
      <c r="G65" s="27">
        <v>-1182.73</v>
      </c>
      <c r="H65" s="27">
        <v>-929.4</v>
      </c>
      <c r="I65" s="27">
        <v>-1474</v>
      </c>
      <c r="J65" s="27">
        <v>-1594</v>
      </c>
      <c r="K65" s="27">
        <v>-1724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Trading Comp</vt:lpstr>
      <vt:lpstr>DCF</vt:lpstr>
      <vt:lpstr>Consolidated</vt:lpstr>
      <vt:lpstr>Company-operated store DCF</vt:lpstr>
      <vt:lpstr>Direct to Consumer DCF</vt:lpstr>
      <vt:lpstr>Other DCF</vt:lpstr>
      <vt:lpstr>WACC</vt:lpstr>
      <vt:lpstr>Shares</vt:lpstr>
      <vt:lpstr>IS</vt:lpstr>
      <vt:lpstr>BS</vt:lpstr>
      <vt:lpstr>CF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Li</dc:creator>
  <cp:lastModifiedBy>Nunzio Sabino</cp:lastModifiedBy>
  <dcterms:created xsi:type="dcterms:W3CDTF">2025-06-19T20:28:26Z</dcterms:created>
  <dcterms:modified xsi:type="dcterms:W3CDTF">2026-01-16T04:40:14Z</dcterms:modified>
</cp:coreProperties>
</file>